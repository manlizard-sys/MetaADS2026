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Diario" sheetId="2" state="visible" r:id="rId4"/>
    <sheet name="Anuncios" sheetId="3" state="visible" r:id="rId5"/>
    <sheet name="Edad" sheetId="4" state="visible" r:id="rId6"/>
    <sheet name="Género" sheetId="5" state="visible" r:id="rId7"/>
    <sheet name="Edad x Género" sheetId="6" state="visible" r:id="rId8"/>
    <sheet name="Estado" sheetId="7" state="visible" r:id="rId9"/>
    <sheet name="Placement" sheetId="8" state="visible" r:id="rId10"/>
    <sheet name="Dispositivo" sheetId="9" state="visible" r:id="rId11"/>
    <sheet name="Hora" sheetId="10" state="visible" r:id="rId12"/>
    <sheet name="Calidad de lead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<sst xmlns="http://schemas.openxmlformats.org/spreadsheetml/2006/main" count="480" uniqueCount="183">
  <si>
    <t xml:space="preserve">Reporte técnico · Meta Ads · OrchidPros</t>
  </si>
  <si>
    <t xml:space="preserve">Periodo: 2026-10-12 a 2026-10-18 · campaña ORCHID - Leads - Hire VA - 2026 OCT - ABO · cuenta act_1806647434085082</t>
  </si>
  <si>
    <t xml:space="preserve">Métrica</t>
  </si>
  <si>
    <t xml:space="preserve">Valor</t>
  </si>
  <si>
    <t xml:space="preserve">Gasto (USD)</t>
  </si>
  <si>
    <t xml:space="preserve">Impresiones</t>
  </si>
  <si>
    <t xml:space="preserve">Clics en enlace</t>
  </si>
  <si>
    <t xml:space="preserve">Landing page views</t>
  </si>
  <si>
    <t xml:space="preserve">Leads (Meta)</t>
  </si>
  <si>
    <t xml:space="preserve">Interacciones</t>
  </si>
  <si>
    <t xml:space="preserve">Reproducciones 3 s</t>
  </si>
  <si>
    <t xml:space="preserve">ThruPlay</t>
  </si>
  <si>
    <t xml:space="preserve">CTR enlace</t>
  </si>
  <si>
    <t xml:space="preserve">CPM (USD)</t>
  </si>
  <si>
    <t xml:space="preserve">CPC enlace (USD)</t>
  </si>
  <si>
    <t xml:space="preserve">CPL Meta (USD)</t>
  </si>
  <si>
    <t xml:space="preserve">Clic → LPV</t>
  </si>
  <si>
    <t xml:space="preserve">LPV → lead</t>
  </si>
  <si>
    <t xml:space="preserve">Hook rate (3 s / imp.)</t>
  </si>
  <si>
    <t xml:space="preserve">Retención 100% / 3 s</t>
  </si>
  <si>
    <t xml:space="preserve">Alcance (personas únicas)</t>
  </si>
  <si>
    <t xml:space="preserve">Frecuencia</t>
  </si>
  <si>
    <t xml:space="preserve">Notas</t>
  </si>
  <si>
    <t xml:space="preserve">Fuente: Meta Marketing API (atribución por defecto de la cuenta). Pueden variar levemente frente a Ads Manager.</t>
  </si>
  <si>
    <t xml:space="preserve">Tasas calculadas con fórmulas en cada hoja: CTR = clics en enlace / impresiones; CPL Meta = gasto / leads de Meta.</t>
  </si>
  <si>
    <t xml:space="preserve">Lead (Meta) cuenta todo formulario enviado; la calidad real está en la hoja 'Calidad de leads' (GHL).</t>
  </si>
  <si>
    <t xml:space="preserve">Alcance no es sumable entre segmentos; el total de cada hoja lo omite.</t>
  </si>
  <si>
    <t xml:space="preserve">Fecha</t>
  </si>
  <si>
    <t xml:space="preserve">Alcance</t>
  </si>
  <si>
    <t xml:space="preserve">Clics (todos)</t>
  </si>
  <si>
    <t xml:space="preserve">Reacciones</t>
  </si>
  <si>
    <t xml:space="preserve">Comentarios</t>
  </si>
  <si>
    <t xml:space="preserve">Compartidos</t>
  </si>
  <si>
    <t xml:space="preserve">Guardados</t>
  </si>
  <si>
    <t xml:space="preserve">Video 25%</t>
  </si>
  <si>
    <t xml:space="preserve">Video 50%</t>
  </si>
  <si>
    <t xml:space="preserve">Video 75%</t>
  </si>
  <si>
    <t xml:space="preserve">Video 100%</t>
  </si>
  <si>
    <t xml:space="preserve">Tasa de interacción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</si>
  <si>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</si>
  <si>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</si>
  <si>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</si>
  <si>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</si>
  <si>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</si>
  <si>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</si>
  <si>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</si>
  <si>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Total</t>
  </si>
  <si>
    <t xml:space="preserve">Anuncio</t>
  </si>
  <si>
    <t xml:space="preserve">V2 Small Law Firm - 2026 Oct</t>
  </si>
  <si>
    <t xml:space="preserve">🔵 S11 Immigration Intake Calls - Hyperlocal - 2026 Oct</t>
  </si>
  <si>
    <t xml:space="preserve">S10 Interns Turnover - Hyperlocal - 2026 Oct</t>
  </si>
  <si>
    <t xml:space="preserve">S9 Attorneys In-Person Cost - Hyperlocal - 2026 Oct</t>
  </si>
  <si>
    <t xml:space="preserve">S8 Comparison - Static - 2026 Oct</t>
  </si>
  <si>
    <t xml:space="preserve">V1 POV Email - 2026 Oct</t>
  </si>
  <si>
    <t xml:space="preserve">S9 Attorneys In-Person Cost - Static - 2026 Oct</t>
  </si>
  <si>
    <t xml:space="preserve">S1 Cost - Static - 2026 Oct</t>
  </si>
  <si>
    <t xml:space="preserve">Edad</t>
  </si>
  <si>
    <t xml:space="preserve">45-54</t>
  </si>
  <si>
    <t xml:space="preserve">35-44</t>
  </si>
  <si>
    <t xml:space="preserve">65+</t>
  </si>
  <si>
    <t xml:space="preserve">55-64</t>
  </si>
  <si>
    <t xml:space="preserve">25-34</t>
  </si>
  <si>
    <t xml:space="preserve">Género</t>
  </si>
  <si>
    <t xml:space="preserve">Mujer</t>
  </si>
  <si>
    <t xml:space="preserve">Hombre</t>
  </si>
  <si>
    <t xml:space="preserve">Sin dato</t>
  </si>
  <si>
    <t xml:space="preserve">Estado (EE. UU.)</t>
  </si>
  <si>
    <t xml:space="preserve">New York</t>
  </si>
  <si>
    <t xml:space="preserve">Pennsylvania</t>
  </si>
  <si>
    <t xml:space="preserve">California</t>
  </si>
  <si>
    <t xml:space="preserve">Texas</t>
  </si>
  <si>
    <t xml:space="preserve">New Jersey</t>
  </si>
  <si>
    <t xml:space="preserve">Florida</t>
  </si>
  <si>
    <t xml:space="preserve">Georgia</t>
  </si>
  <si>
    <t xml:space="preserve">North Carolina</t>
  </si>
  <si>
    <t xml:space="preserve">Alabama</t>
  </si>
  <si>
    <t xml:space="preserve">Illinois</t>
  </si>
  <si>
    <t xml:space="preserve">Virginia</t>
  </si>
  <si>
    <t xml:space="preserve">Arizona</t>
  </si>
  <si>
    <t xml:space="preserve">Colorado</t>
  </si>
  <si>
    <t xml:space="preserve">Tennessee</t>
  </si>
  <si>
    <t xml:space="preserve">Oklahoma</t>
  </si>
  <si>
    <t xml:space="preserve">Ohio</t>
  </si>
  <si>
    <t xml:space="preserve">South Carolina</t>
  </si>
  <si>
    <t xml:space="preserve">Michigan</t>
  </si>
  <si>
    <t xml:space="preserve">Washington</t>
  </si>
  <si>
    <t xml:space="preserve">Massachusetts</t>
  </si>
  <si>
    <t xml:space="preserve">Nevada</t>
  </si>
  <si>
    <t xml:space="preserve">Missouri</t>
  </si>
  <si>
    <t xml:space="preserve">Maryland</t>
  </si>
  <si>
    <t xml:space="preserve">Kentucky</t>
  </si>
  <si>
    <t xml:space="preserve">Minnesota</t>
  </si>
  <si>
    <t xml:space="preserve">Mississippi</t>
  </si>
  <si>
    <t xml:space="preserve">West Virginia</t>
  </si>
  <si>
    <t xml:space="preserve">Louisiana</t>
  </si>
  <si>
    <t xml:space="preserve">Utah</t>
  </si>
  <si>
    <t xml:space="preserve">New Mexico</t>
  </si>
  <si>
    <t xml:space="preserve">Wisconsin</t>
  </si>
  <si>
    <t xml:space="preserve">Washington, District of Columbia</t>
  </si>
  <si>
    <t xml:space="preserve">Indiana</t>
  </si>
  <si>
    <t xml:space="preserve">Delaware</t>
  </si>
  <si>
    <t xml:space="preserve">Hawaii</t>
  </si>
  <si>
    <t xml:space="preserve">Connecticut</t>
  </si>
  <si>
    <t xml:space="preserve">Oregon</t>
  </si>
  <si>
    <t xml:space="preserve">Vermont</t>
  </si>
  <si>
    <t xml:space="preserve">Nebraska</t>
  </si>
  <si>
    <t xml:space="preserve">Arkansas</t>
  </si>
  <si>
    <t xml:space="preserve">Kansas</t>
  </si>
  <si>
    <t xml:space="preserve">Montana</t>
  </si>
  <si>
    <t xml:space="preserve">South Dakota</t>
  </si>
  <si>
    <t xml:space="preserve">Maine</t>
  </si>
  <si>
    <t xml:space="preserve">Rhode Island</t>
  </si>
  <si>
    <t xml:space="preserve">Iowa</t>
  </si>
  <si>
    <t xml:space="preserve">Unknown</t>
  </si>
  <si>
    <t xml:space="preserve">Idaho</t>
  </si>
  <si>
    <t xml:space="preserve">Wyoming</t>
  </si>
  <si>
    <t xml:space="preserve">New Hampshire</t>
  </si>
  <si>
    <t xml:space="preserve">Meta no reporta landing page views ni leads por estado (restricción de privacidad): esas columnas salen en 0.</t>
  </si>
  <si>
    <t xml:space="preserve">Plataforma</t>
  </si>
  <si>
    <t xml:space="preserve">Posición</t>
  </si>
  <si>
    <t xml:space="preserve">facebook</t>
  </si>
  <si>
    <t xml:space="preserve">facebook_reels</t>
  </si>
  <si>
    <t xml:space="preserve">instagram</t>
  </si>
  <si>
    <t xml:space="preserve">feed</t>
  </si>
  <si>
    <t xml:space="preserve">instagram_reels</t>
  </si>
  <si>
    <t xml:space="preserve">facebook_reels_overlay</t>
  </si>
  <si>
    <t xml:space="preserve">instagram_stories</t>
  </si>
  <si>
    <t xml:space="preserve">facebook_stories</t>
  </si>
  <si>
    <t xml:space="preserve">marketplace</t>
  </si>
  <si>
    <t xml:space="preserve">instream_video</t>
  </si>
  <si>
    <t xml:space="preserve">facebook_notification</t>
  </si>
  <si>
    <t xml:space="preserve">search</t>
  </si>
  <si>
    <t xml:space="preserve">right_hand_column</t>
  </si>
  <si>
    <t xml:space="preserve">unknown</t>
  </si>
  <si>
    <t xml:space="preserve">instagram_explore_grid_home</t>
  </si>
  <si>
    <t xml:space="preserve">instagram_search</t>
  </si>
  <si>
    <t xml:space="preserve">Dispositivo</t>
  </si>
  <si>
    <t xml:space="preserve">iphone</t>
  </si>
  <si>
    <t xml:space="preserve">android_smartphone</t>
  </si>
  <si>
    <t xml:space="preserve">ipad</t>
  </si>
  <si>
    <t xml:space="preserve">android_tablet</t>
  </si>
  <si>
    <t xml:space="preserve">desktop</t>
  </si>
  <si>
    <t xml:space="preserve">other</t>
  </si>
  <si>
    <t xml:space="preserve">Hora (Nueva York)</t>
  </si>
  <si>
    <t xml:space="preserve">00:00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</si>
  <si>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</si>
  <si>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</si>
  <si>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</si>
  <si>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</si>
  <si>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</si>
  <si>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</si>
  <si>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</si>
  <si>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</si>
  <si>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</si>
  <si>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</si>
  <si>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</si>
  <si>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</si>
  <si>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</si>
  <si>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</si>
  <si>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</si>
  <si>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</si>
  <si>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</si>
  <si>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</si>
  <si>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</si>
  <si>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</si>
  <si>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</si>
  <si>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</si>
  <si>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</si>
  <si>
    <t xml:space="preserve">Meta no entrega alcance por hora.</t>
  </si>
  <si>
    <t xml:space="preserve">Fecha (UTC)</t>
  </si>
  <si>
    <t xml:space="preserve">Anuncio de origen</t>
  </si>
  <si>
    <t xml:space="preserve">Hiring or job seeking</t>
  </si>
  <si>
    <t xml:space="preserve">Vertical</t>
  </si>
  <si>
    <t xml:space="preserve">Agendó</t>
  </si>
  <si>
    <t xml:space="preserve">Clasificación</t>
  </si>
  <si>
    <t xml:space="preserve">I'm looking for a job.</t>
  </si>
  <si>
    <t xml:space="preserve">Legal - PI &amp; trademark</t>
  </si>
  <si>
    <t xml:space="preserve">No</t>
  </si>
  <si>
    <t xml:space="preserve">No calificado</t>
  </si>
  <si>
    <t xml:space="preserve">Calificados</t>
  </si>
  <si>
    <t xml:space="preserve">No calificados</t>
  </si>
  <si>
    <t xml:space="preserve">% no calificados (con respuesta)</t>
  </si>
  <si>
    <t xml:space="preserve">Fuente: GHL (ghl-2026-10-20.json), contactos creados entre 2026-10-12 y 2026-10-18, sin datos personales. Excluye importaciones de Mailchimp.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</si>
</sst>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"/>
    <numFmt numFmtId="167" formatCode="0.00%"/>
    <numFmt numFmtId="168" formatCode="0.0%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B1C78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B66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1C78"/>
        <bgColor rgb="FF333333"/>
      </patternFill>
    </fill>
    <fill>
      <patternFill patternType="solid">
        <fgColor rgb="FFF3F0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0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680"/>
      <rgbColor rgb="FF969696"/>
      <rgbColor rgb="FF003366"/>
      <rgbColor rgb="FF339966"/>
      <rgbColor rgb="FF003300"/>
      <rgbColor rgb="FF333300"/>
      <rgbColor rgb="FF993300"/>
      <rgbColor rgb="FF993366"/>
      <rgbColor rgb="FF3B1C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4" t="n">
        <f aca="false">Diario!B9</f>
        <v>288.3</v>
      </c>
    </row>
    <row r="6" customFormat="false" ht="15" hidden="false" customHeight="false" outlineLevel="0" collapsed="false">
      <c r="A6" s="2" t="s">
        <v>5</v>
      </c>
      <c r="B6" s="5" t="n">
        <f aca="false">Diario!C9</f>
        <v>4458</v>
      </c>
    </row>
    <row r="7" customFormat="false" ht="15" hidden="false" customHeight="false" outlineLevel="0" collapsed="false">
      <c r="A7" s="2" t="s">
        <v>6</v>
      </c>
      <c r="B7" s="5" t="n">
        <f aca="false">Diario!F9</f>
        <v>68</v>
      </c>
    </row>
    <row r="8" customFormat="false" ht="15" hidden="false" customHeight="false" outlineLevel="0" collapsed="false">
      <c r="A8" s="2" t="s">
        <v>7</v>
      </c>
      <c r="B8" s="5" t="n">
        <f aca="false">Diario!G9</f>
        <v>51</v>
      </c>
    </row>
    <row r="9" customFormat="false" ht="15" hidden="false" customHeight="false" outlineLevel="0" collapsed="false">
      <c r="A9" s="2" t="s">
        <v>8</v>
      </c>
      <c r="B9" s="5" t="n">
        <f aca="false">Diario!H9</f>
        <v>1</v>
      </c>
    </row>
    <row r="10" customFormat="false" ht="15" hidden="false" customHeight="false" outlineLevel="0" collapsed="false">
      <c r="A10" s="2" t="s">
        <v>9</v>
      </c>
      <c r="B10" s="5" t="n">
        <f aca="false">Diario!I9</f>
        <v>850</v>
      </c>
    </row>
    <row r="11" customFormat="false" ht="15" hidden="false" customHeight="false" outlineLevel="0" collapsed="false">
      <c r="A11" s="2" t="s">
        <v>10</v>
      </c>
      <c r="B11" s="5" t="n">
        <f aca="false">Diario!N9</f>
        <v>754</v>
      </c>
    </row>
    <row r="12" customFormat="false" ht="15" hidden="false" customHeight="false" outlineLevel="0" collapsed="false">
      <c r="A12" s="2" t="s">
        <v>11</v>
      </c>
      <c r="B12" s="5" t="n">
        <f aca="false">Diario!S9</f>
        <v>47</v>
      </c>
    </row>
    <row r="13" customFormat="false" ht="15" hidden="false" customHeight="false" outlineLevel="0" collapsed="false">
      <c r="A13" s="2" t="s">
        <v>12</v>
      </c>
      <c r="B13" s="6" t="n">
        <f aca="false">Diario!U9</f>
        <v>0.0152534768954688</v>
      </c>
    </row>
    <row r="14" customFormat="false" ht="15" hidden="false" customHeight="false" outlineLevel="0" collapsed="false">
      <c r="A14" s="2" t="s">
        <v>13</v>
      </c>
      <c r="B14" s="4" t="n">
        <f aca="false">Diario!V9</f>
        <v>64.6702557200538</v>
      </c>
    </row>
    <row r="15" customFormat="false" ht="15" hidden="false" customHeight="false" outlineLevel="0" collapsed="false">
      <c r="A15" s="2" t="s">
        <v>14</v>
      </c>
      <c r="B15" s="4" t="n">
        <f aca="false">Diario!W9</f>
        <v>4.23970588235294</v>
      </c>
    </row>
    <row r="16" customFormat="false" ht="15" hidden="false" customHeight="false" outlineLevel="0" collapsed="false">
      <c r="A16" s="2" t="s">
        <v>15</v>
      </c>
      <c r="B16" s="4" t="n">
        <f aca="false">Diario!X9</f>
        <v>288.3</v>
      </c>
    </row>
    <row r="17" customFormat="false" ht="15" hidden="false" customHeight="false" outlineLevel="0" collapsed="false">
      <c r="A17" s="2" t="s">
        <v>16</v>
      </c>
      <c r="B17" s="7" t="n">
        <f aca="false">Diario!Y9</f>
        <v>0.75</v>
      </c>
    </row>
    <row r="18" customFormat="false" ht="15" hidden="false" customHeight="false" outlineLevel="0" collapsed="false">
      <c r="A18" s="2" t="s">
        <v>17</v>
      </c>
      <c r="B18" s="7" t="n">
        <f aca="false">Diario!Z9</f>
        <v>0.0196078431372549</v>
      </c>
    </row>
    <row r="19" customFormat="false" ht="15" hidden="false" customHeight="false" outlineLevel="0" collapsed="false">
      <c r="A19" s="2" t="s">
        <v>18</v>
      </c>
      <c r="B19" s="7" t="n">
        <f aca="false">Diario!AB9</f>
        <v>0.169134140870345</v>
      </c>
    </row>
    <row r="20" customFormat="false" ht="15" hidden="false" customHeight="false" outlineLevel="0" collapsed="false">
      <c r="A20" s="2" t="s">
        <v>19</v>
      </c>
      <c r="B20" s="7" t="n">
        <f aca="false">Diario!AC9</f>
        <v>0.0583554376657825</v>
      </c>
    </row>
    <row r="21" customFormat="false" ht="15" hidden="false" customHeight="false" outlineLevel="0" collapsed="false">
      <c r="A21" s="2" t="s">
        <v>20</v>
      </c>
      <c r="B21" s="5" t="n">
        <v>3042</v>
      </c>
    </row>
    <row r="22" customFormat="false" ht="15" hidden="false" customHeight="false" outlineLevel="0" collapsed="false">
      <c r="A22" s="2" t="s">
        <v>21</v>
      </c>
      <c r="B22" s="8" t="n">
        <f aca="false">IF(B21&gt;0,B6/B21,"")</f>
        <v>1.465483234714</v>
      </c>
    </row>
    <row r="23" customFormat="false" ht="15" hidden="false" customHeight="false" outlineLevel="0" collapsed="false">
      <c r="A23" s="2"/>
      <c r="B23" s="2"/>
    </row>
    <row r="24" customFormat="false" ht="15" hidden="false" customHeight="false" outlineLevel="0" collapsed="false">
      <c r="A24" s="9" t="s">
        <v>22</v>
      </c>
      <c r="B24" s="2"/>
    </row>
    <row r="25" customFormat="false" ht="15" hidden="false" customHeight="false" outlineLevel="0" collapsed="false">
      <c r="A25" s="2" t="s">
        <v>23</v>
      </c>
      <c r="B25" s="2"/>
    </row>
    <row r="26" customFormat="false" ht="15" hidden="false" customHeight="false" outlineLevel="0" collapsed="false">
      <c r="A26" s="2" t="s">
        <v>24</v>
      </c>
      <c r="B26" s="2"/>
    </row>
    <row r="27" customFormat="false" ht="15" hidden="false" customHeight="false" outlineLevel="0" collapsed="false">
      <c r="A27" s="2" t="s">
        <v>25</v>
      </c>
      <c r="B27" s="2"/>
    </row>
    <row r="28" customFormat="false" ht="15" hidden="false" customHeight="false" outlineLevel="0" collapsed="false">
      <c r="A28" s="2" t="s">
        <v>26</v>
      </c>
      <c r="B2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27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39</v>
      </c>
      <c r="B2" s="4" t="n">
        <v>36.42</v>
      </c>
      <c r="C2" s="5" t="n">
        <v>429</v>
      </c>
      <c r="D2" s="5" t="n">
        <v>357</v>
      </c>
      <c r="E2" s="5" t="n">
        <v>11</v>
      </c>
      <c r="F2" s="5" t="n">
        <v>6</v>
      </c>
      <c r="G2" s="5" t="n">
        <v>4</v>
      </c>
      <c r="H2" s="5" t="n">
        <v>1</v>
      </c>
      <c r="I2" s="5" t="n">
        <v>169</v>
      </c>
      <c r="J2" s="5" t="n">
        <v>3</v>
      </c>
      <c r="K2" s="5" t="n">
        <v>0</v>
      </c>
      <c r="L2" s="5" t="n">
        <v>1</v>
      </c>
      <c r="M2" s="5" t="n">
        <v>0</v>
      </c>
      <c r="N2" s="5" t="n">
        <v>159</v>
      </c>
      <c r="O2" s="5" t="n">
        <v>119</v>
      </c>
      <c r="P2" s="5" t="n">
        <v>37</v>
      </c>
      <c r="Q2" s="5" t="n">
        <v>14</v>
      </c>
      <c r="R2" s="5" t="n">
        <v>9</v>
      </c>
      <c r="S2" s="5" t="n">
        <v>9</v>
      </c>
      <c r="T2" s="8" t="n">
        <f aca="false">IF(D2&gt;0,C2/D2,"")</f>
        <v>1.20168067226891</v>
      </c>
      <c r="U2" s="6" t="n">
        <f aca="false">IF(C2&gt;0,F2/C2,"")</f>
        <v>0.013986013986014</v>
      </c>
      <c r="V2" s="4" t="n">
        <f aca="false">IF(C2&gt;0,B2/C2*1000,"")</f>
        <v>84.8951048951049</v>
      </c>
      <c r="W2" s="4" t="n">
        <f aca="false">IF(F2&gt;0,B2/F2,"")</f>
        <v>6.07</v>
      </c>
      <c r="X2" s="4" t="n">
        <f aca="false">IF(H2&gt;0,B2/H2,"")</f>
        <v>36.42</v>
      </c>
      <c r="Y2" s="7" t="n">
        <f aca="false">IF(F2&gt;0,G2/F2,"")</f>
        <v>0.666666666666667</v>
      </c>
      <c r="Z2" s="7" t="n">
        <f aca="false">IF(G2&gt;0,H2/G2,"")</f>
        <v>0.25</v>
      </c>
      <c r="AA2" s="6" t="n">
        <f aca="false">IF(C2&gt;0,I2/C2,"")</f>
        <v>0.393939393939394</v>
      </c>
      <c r="AB2" s="7" t="n">
        <f aca="false">IF(C2&gt;0,N2/C2,"")</f>
        <v>0.370629370629371</v>
      </c>
      <c r="AC2" s="7" t="n">
        <f aca="false">IF(N2&gt;0,R2/N2,"")</f>
        <v>0.0566037735849057</v>
      </c>
    </row>
    <row r="3" customFormat="false" ht="15" hidden="false" customHeight="false" outlineLevel="0" collapsed="false">
      <c r="A3" s="2" t="s">
        <v>40</v>
      </c>
      <c r="B3" s="4" t="n">
        <v>38.16</v>
      </c>
      <c r="C3" s="5" t="n">
        <v>513</v>
      </c>
      <c r="D3" s="5" t="n">
        <v>425</v>
      </c>
      <c r="E3" s="5" t="n">
        <v>12</v>
      </c>
      <c r="F3" s="5" t="n">
        <v>7</v>
      </c>
      <c r="G3" s="5" t="n">
        <v>4</v>
      </c>
      <c r="H3" s="5" t="n">
        <v>0</v>
      </c>
      <c r="I3" s="5" t="n">
        <v>205</v>
      </c>
      <c r="J3" s="5" t="n">
        <v>4</v>
      </c>
      <c r="K3" s="5" t="n">
        <v>0</v>
      </c>
      <c r="L3" s="5" t="n">
        <v>1</v>
      </c>
      <c r="M3" s="5" t="n">
        <v>0</v>
      </c>
      <c r="N3" s="5" t="n">
        <v>193</v>
      </c>
      <c r="O3" s="5" t="n">
        <v>153</v>
      </c>
      <c r="P3" s="5" t="n">
        <v>49</v>
      </c>
      <c r="Q3" s="5" t="n">
        <v>25</v>
      </c>
      <c r="R3" s="5" t="n">
        <v>13</v>
      </c>
      <c r="S3" s="5" t="n">
        <v>13</v>
      </c>
      <c r="T3" s="8" t="n">
        <f aca="false">IF(D3&gt;0,C3/D3,"")</f>
        <v>1.20705882352941</v>
      </c>
      <c r="U3" s="6" t="n">
        <f aca="false">IF(C3&gt;0,F3/C3,"")</f>
        <v>0.01364522417154</v>
      </c>
      <c r="V3" s="4" t="n">
        <f aca="false">IF(C3&gt;0,B3/C3*1000,"")</f>
        <v>74.3859649122807</v>
      </c>
      <c r="W3" s="4" t="n">
        <f aca="false">IF(F3&gt;0,B3/F3,"")</f>
        <v>5.45142857142857</v>
      </c>
      <c r="X3" s="4" t="str">
        <f aca="false">IF(H3&gt;0,B3/H3,"")</f>
        <v/>
      </c>
      <c r="Y3" s="7" t="n">
        <f aca="false">IF(F3&gt;0,G3/F3,"")</f>
        <v>0.571428571428571</v>
      </c>
      <c r="Z3" s="7" t="n">
        <f aca="false">IF(G3&gt;0,H3/G3,"")</f>
        <v>0</v>
      </c>
      <c r="AA3" s="6" t="n">
        <f aca="false">IF(C3&gt;0,I3/C3,"")</f>
        <v>0.399610136452242</v>
      </c>
      <c r="AB3" s="7" t="n">
        <f aca="false">IF(C3&gt;0,N3/C3,"")</f>
        <v>0.376218323586745</v>
      </c>
      <c r="AC3" s="7" t="n">
        <f aca="false">IF(N3&gt;0,R3/N3,"")</f>
        <v>0.0673575129533679</v>
      </c>
    </row>
    <row r="4" customFormat="false" ht="15" hidden="false" customHeight="false" outlineLevel="0" collapsed="false">
      <c r="A4" s="2" t="s">
        <v>41</v>
      </c>
      <c r="B4" s="4" t="n">
        <v>49.94</v>
      </c>
      <c r="C4" s="5" t="n">
        <v>523</v>
      </c>
      <c r="D4" s="5" t="n">
        <v>433</v>
      </c>
      <c r="E4" s="5" t="n">
        <v>18</v>
      </c>
      <c r="F4" s="5" t="n">
        <v>14</v>
      </c>
      <c r="G4" s="5" t="n">
        <v>11</v>
      </c>
      <c r="H4" s="5" t="n">
        <v>0</v>
      </c>
      <c r="I4" s="5" t="n">
        <v>250</v>
      </c>
      <c r="J4" s="5" t="n">
        <v>6</v>
      </c>
      <c r="K4" s="5" t="n">
        <v>0</v>
      </c>
      <c r="L4" s="5" t="n">
        <v>0</v>
      </c>
      <c r="M4" s="5" t="n">
        <v>1</v>
      </c>
      <c r="N4" s="5" t="n">
        <v>229</v>
      </c>
      <c r="O4" s="5" t="n">
        <v>184</v>
      </c>
      <c r="P4" s="5" t="n">
        <v>63</v>
      </c>
      <c r="Q4" s="5" t="n">
        <v>31</v>
      </c>
      <c r="R4" s="5" t="n">
        <v>14</v>
      </c>
      <c r="S4" s="5" t="n">
        <v>16</v>
      </c>
      <c r="T4" s="8" t="n">
        <f aca="false">IF(D4&gt;0,C4/D4,"")</f>
        <v>1.20785219399538</v>
      </c>
      <c r="U4" s="6" t="n">
        <f aca="false">IF(C4&gt;0,F4/C4,"")</f>
        <v>0.0267686424474187</v>
      </c>
      <c r="V4" s="4" t="n">
        <f aca="false">IF(C4&gt;0,B4/C4*1000,"")</f>
        <v>95.4875717017208</v>
      </c>
      <c r="W4" s="4" t="n">
        <f aca="false">IF(F4&gt;0,B4/F4,"")</f>
        <v>3.56714285714286</v>
      </c>
      <c r="X4" s="4" t="str">
        <f aca="false">IF(H4&gt;0,B4/H4,"")</f>
        <v/>
      </c>
      <c r="Y4" s="7" t="n">
        <f aca="false">IF(F4&gt;0,G4/F4,"")</f>
        <v>0.785714285714286</v>
      </c>
      <c r="Z4" s="7" t="n">
        <f aca="false">IF(G4&gt;0,H4/G4,"")</f>
        <v>0</v>
      </c>
      <c r="AA4" s="6" t="n">
        <f aca="false">IF(C4&gt;0,I4/C4,"")</f>
        <v>0.478011472275335</v>
      </c>
      <c r="AB4" s="7" t="n">
        <f aca="false">IF(C4&gt;0,N4/C4,"")</f>
        <v>0.437858508604207</v>
      </c>
      <c r="AC4" s="7" t="n">
        <f aca="false">IF(N4&gt;0,R4/N4,"")</f>
        <v>0.0611353711790393</v>
      </c>
    </row>
    <row r="5" customFormat="false" ht="15" hidden="false" customHeight="false" outlineLevel="0" collapsed="false">
      <c r="A5" s="2" t="s">
        <v>42</v>
      </c>
      <c r="B5" s="4" t="n">
        <v>35.42</v>
      </c>
      <c r="C5" s="5" t="n">
        <v>365</v>
      </c>
      <c r="D5" s="5" t="n">
        <v>328</v>
      </c>
      <c r="E5" s="5" t="n">
        <v>15</v>
      </c>
      <c r="F5" s="5" t="n">
        <v>8</v>
      </c>
      <c r="G5" s="5" t="n">
        <v>5</v>
      </c>
      <c r="H5" s="5" t="n">
        <v>0</v>
      </c>
      <c r="I5" s="5" t="n">
        <v>186</v>
      </c>
      <c r="J5" s="5" t="n">
        <v>3</v>
      </c>
      <c r="K5" s="5" t="n">
        <v>0</v>
      </c>
      <c r="L5" s="5" t="n">
        <v>1</v>
      </c>
      <c r="M5" s="5" t="n">
        <v>1</v>
      </c>
      <c r="N5" s="5" t="n">
        <v>173</v>
      </c>
      <c r="O5" s="5" t="n">
        <v>137</v>
      </c>
      <c r="P5" s="5" t="n">
        <v>45</v>
      </c>
      <c r="Q5" s="5" t="n">
        <v>23</v>
      </c>
      <c r="R5" s="5" t="n">
        <v>8</v>
      </c>
      <c r="S5" s="5" t="n">
        <v>9</v>
      </c>
      <c r="T5" s="8" t="n">
        <f aca="false">IF(D5&gt;0,C5/D5,"")</f>
        <v>1.11280487804878</v>
      </c>
      <c r="U5" s="6" t="n">
        <f aca="false">IF(C5&gt;0,F5/C5,"")</f>
        <v>0.0219178082191781</v>
      </c>
      <c r="V5" s="4" t="n">
        <f aca="false">IF(C5&gt;0,B5/C5*1000,"")</f>
        <v>97.041095890411</v>
      </c>
      <c r="W5" s="4" t="n">
        <f aca="false">IF(F5&gt;0,B5/F5,"")</f>
        <v>4.4275</v>
      </c>
      <c r="X5" s="4" t="str">
        <f aca="false">IF(H5&gt;0,B5/H5,"")</f>
        <v/>
      </c>
      <c r="Y5" s="7" t="n">
        <f aca="false">IF(F5&gt;0,G5/F5,"")</f>
        <v>0.625</v>
      </c>
      <c r="Z5" s="7" t="n">
        <f aca="false">IF(G5&gt;0,H5/G5,"")</f>
        <v>0</v>
      </c>
      <c r="AA5" s="6" t="n">
        <f aca="false">IF(C5&gt;0,I5/C5,"")</f>
        <v>0.50958904109589</v>
      </c>
      <c r="AB5" s="7" t="n">
        <f aca="false">IF(C5&gt;0,N5/C5,"")</f>
        <v>0.473972602739726</v>
      </c>
      <c r="AC5" s="7" t="n">
        <f aca="false">IF(N5&gt;0,R5/N5,"")</f>
        <v>0.046242774566474</v>
      </c>
    </row>
    <row r="6" customFormat="false" ht="15" hidden="false" customHeight="false" outlineLevel="0" collapsed="false">
      <c r="A6" s="2" t="s">
        <v>43</v>
      </c>
      <c r="B6" s="4" t="n">
        <v>48.1</v>
      </c>
      <c r="C6" s="5" t="n">
        <v>1575</v>
      </c>
      <c r="D6" s="5" t="n">
        <v>1194</v>
      </c>
      <c r="E6" s="5" t="n">
        <v>25</v>
      </c>
      <c r="F6" s="5" t="n">
        <v>24</v>
      </c>
      <c r="G6" s="5" t="n">
        <v>20</v>
      </c>
      <c r="H6" s="5" t="n">
        <v>0</v>
      </c>
      <c r="I6" s="5" t="n">
        <v>27</v>
      </c>
      <c r="J6" s="5" t="n">
        <v>2</v>
      </c>
      <c r="K6" s="5" t="n">
        <v>0</v>
      </c>
      <c r="L6" s="5" t="n">
        <v>0</v>
      </c>
      <c r="M6" s="5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8" t="n">
        <f aca="false">IF(D6&gt;0,C6/D6,"")</f>
        <v>1.31909547738693</v>
      </c>
      <c r="U6" s="6" t="n">
        <f aca="false">IF(C6&gt;0,F6/C6,"")</f>
        <v>0.0152380952380952</v>
      </c>
      <c r="V6" s="4" t="n">
        <f aca="false">IF(C6&gt;0,B6/C6*1000,"")</f>
        <v>30.5396825396825</v>
      </c>
      <c r="W6" s="4" t="n">
        <f aca="false">IF(F6&gt;0,B6/F6,"")</f>
        <v>2.00416666666667</v>
      </c>
      <c r="X6" s="4" t="str">
        <f aca="false">IF(H6&gt;0,B6/H6,"")</f>
        <v/>
      </c>
      <c r="Y6" s="7" t="n">
        <f aca="false">IF(F6&gt;0,G6/F6,"")</f>
        <v>0.833333333333333</v>
      </c>
      <c r="Z6" s="7" t="n">
        <f aca="false">IF(G6&gt;0,H6/G6,"")</f>
        <v>0</v>
      </c>
      <c r="AA6" s="6" t="n">
        <f aca="false">IF(C6&gt;0,I6/C6,"")</f>
        <v>0.0171428571428571</v>
      </c>
      <c r="AB6" s="7" t="n">
        <f aca="false">IF(C6&gt;0,N6/C6,"")</f>
        <v>0</v>
      </c>
      <c r="AC6" s="7" t="str">
        <f aca="false">IF(N6&gt;0,R6/N6,"")</f>
        <v/>
      </c>
    </row>
    <row r="7" customFormat="false" ht="15" hidden="false" customHeight="false" outlineLevel="0" collapsed="false">
      <c r="A7" s="2" t="s">
        <v>44</v>
      </c>
      <c r="B7" s="4" t="n">
        <v>28.57</v>
      </c>
      <c r="C7" s="5" t="n">
        <v>530</v>
      </c>
      <c r="D7" s="5" t="n">
        <v>430</v>
      </c>
      <c r="E7" s="5" t="n">
        <v>9</v>
      </c>
      <c r="F7" s="5" t="n">
        <v>6</v>
      </c>
      <c r="G7" s="5" t="n">
        <v>5</v>
      </c>
      <c r="H7" s="5" t="n">
        <v>0</v>
      </c>
      <c r="I7" s="5" t="n">
        <v>10</v>
      </c>
      <c r="J7" s="5" t="n">
        <v>2</v>
      </c>
      <c r="K7" s="5" t="n">
        <v>0</v>
      </c>
      <c r="L7" s="5" t="n">
        <v>0</v>
      </c>
      <c r="M7" s="5" t="n">
        <v>2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8" t="n">
        <f aca="false">IF(D7&gt;0,C7/D7,"")</f>
        <v>1.23255813953488</v>
      </c>
      <c r="U7" s="6" t="n">
        <f aca="false">IF(C7&gt;0,F7/C7,"")</f>
        <v>0.0113207547169811</v>
      </c>
      <c r="V7" s="4" t="n">
        <f aca="false">IF(C7&gt;0,B7/C7*1000,"")</f>
        <v>53.9056603773585</v>
      </c>
      <c r="W7" s="4" t="n">
        <f aca="false">IF(F7&gt;0,B7/F7,"")</f>
        <v>4.76166666666667</v>
      </c>
      <c r="X7" s="4" t="str">
        <f aca="false">IF(H7&gt;0,B7/H7,"")</f>
        <v/>
      </c>
      <c r="Y7" s="7" t="n">
        <f aca="false">IF(F7&gt;0,G7/F7,"")</f>
        <v>0.833333333333333</v>
      </c>
      <c r="Z7" s="7" t="n">
        <f aca="false">IF(G7&gt;0,H7/G7,"")</f>
        <v>0</v>
      </c>
      <c r="AA7" s="6" t="n">
        <f aca="false">IF(C7&gt;0,I7/C7,"")</f>
        <v>0.0188679245283019</v>
      </c>
      <c r="AB7" s="7" t="n">
        <f aca="false">IF(C7&gt;0,N7/C7,"")</f>
        <v>0</v>
      </c>
      <c r="AC7" s="7" t="str">
        <f aca="false">IF(N7&gt;0,R7/N7,"")</f>
        <v/>
      </c>
    </row>
    <row r="8" customFormat="false" ht="15" hidden="false" customHeight="false" outlineLevel="0" collapsed="false">
      <c r="A8" s="2" t="s">
        <v>45</v>
      </c>
      <c r="B8" s="4" t="n">
        <v>51.69</v>
      </c>
      <c r="C8" s="5" t="n">
        <v>523</v>
      </c>
      <c r="D8" s="5" t="n">
        <v>366</v>
      </c>
      <c r="E8" s="5" t="n">
        <v>5</v>
      </c>
      <c r="F8" s="5" t="n">
        <v>3</v>
      </c>
      <c r="G8" s="5" t="n">
        <v>2</v>
      </c>
      <c r="H8" s="5" t="n">
        <v>0</v>
      </c>
      <c r="I8" s="5" t="n">
        <v>3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8" t="n">
        <f aca="false">IF(D8&gt;0,C8/D8,"")</f>
        <v>1.42896174863388</v>
      </c>
      <c r="U8" s="6" t="n">
        <f aca="false">IF(C8&gt;0,F8/C8,"")</f>
        <v>0.00573613766730402</v>
      </c>
      <c r="V8" s="4" t="n">
        <f aca="false">IF(C8&gt;0,B8/C8*1000,"")</f>
        <v>98.8336520076482</v>
      </c>
      <c r="W8" s="4" t="n">
        <f aca="false">IF(F8&gt;0,B8/F8,"")</f>
        <v>17.23</v>
      </c>
      <c r="X8" s="4" t="str">
        <f aca="false">IF(H8&gt;0,B8/H8,"")</f>
        <v/>
      </c>
      <c r="Y8" s="7" t="n">
        <f aca="false">IF(F8&gt;0,G8/F8,"")</f>
        <v>0.666666666666667</v>
      </c>
      <c r="Z8" s="7" t="n">
        <f aca="false">IF(G8&gt;0,H8/G8,"")</f>
        <v>0</v>
      </c>
      <c r="AA8" s="6" t="n">
        <f aca="false">IF(C8&gt;0,I8/C8,"")</f>
        <v>0.00573613766730402</v>
      </c>
      <c r="AB8" s="7" t="n">
        <f aca="false">IF(C8&gt;0,N8/C8,"")</f>
        <v>0</v>
      </c>
      <c r="AC8" s="7" t="str">
        <f aca="false">IF(N8&gt;0,R8/N8,"")</f>
        <v/>
      </c>
    </row>
    <row r="9" customFormat="false" ht="15" hidden="false" customHeight="false" outlineLevel="0" collapsed="false">
      <c r="A9" s="11" t="s">
        <v>46</v>
      </c>
      <c r="B9" s="12" t="n">
        <f aca="false">SUM(B2:B8)</f>
        <v>288.3</v>
      </c>
      <c r="C9" s="13" t="n">
        <f aca="false">SUM(C2:C8)</f>
        <v>4458</v>
      </c>
      <c r="D9" s="13"/>
      <c r="E9" s="13" t="n">
        <f aca="false">SUM(E2:E8)</f>
        <v>95</v>
      </c>
      <c r="F9" s="13" t="n">
        <f aca="false">SUM(F2:F8)</f>
        <v>68</v>
      </c>
      <c r="G9" s="13" t="n">
        <f aca="false">SUM(G2:G8)</f>
        <v>51</v>
      </c>
      <c r="H9" s="13" t="n">
        <f aca="false">SUM(H2:H8)</f>
        <v>1</v>
      </c>
      <c r="I9" s="13" t="n">
        <f aca="false">SUM(I2:I8)</f>
        <v>850</v>
      </c>
      <c r="J9" s="13" t="n">
        <f aca="false">SUM(J2:J8)</f>
        <v>20</v>
      </c>
      <c r="K9" s="13" t="n">
        <f aca="false">SUM(K2:K8)</f>
        <v>0</v>
      </c>
      <c r="L9" s="13" t="n">
        <f aca="false">SUM(L2:L8)</f>
        <v>3</v>
      </c>
      <c r="M9" s="13" t="n">
        <f aca="false">SUM(M2:M8)</f>
        <v>5</v>
      </c>
      <c r="N9" s="13" t="n">
        <f aca="false">SUM(N2:N8)</f>
        <v>754</v>
      </c>
      <c r="O9" s="13" t="n">
        <f aca="false">SUM(O2:O8)</f>
        <v>593</v>
      </c>
      <c r="P9" s="13" t="n">
        <f aca="false">SUM(P2:P8)</f>
        <v>194</v>
      </c>
      <c r="Q9" s="13" t="n">
        <f aca="false">SUM(Q2:Q8)</f>
        <v>93</v>
      </c>
      <c r="R9" s="13" t="n">
        <f aca="false">SUM(R2:R8)</f>
        <v>44</v>
      </c>
      <c r="S9" s="13" t="n">
        <f aca="false">SUM(S2:S8)</f>
        <v>47</v>
      </c>
      <c r="T9" s="14" t="str">
        <f aca="false">IF(D9&gt;0,C9/D9,"")</f>
        <v/>
      </c>
      <c r="U9" s="15" t="n">
        <f aca="false">IF(C9&gt;0,F9/C9,"")</f>
        <v>0.0152534768954688</v>
      </c>
      <c r="V9" s="12" t="n">
        <f aca="false">IF(C9&gt;0,B9/C9*1000,"")</f>
        <v>64.6702557200538</v>
      </c>
      <c r="W9" s="12" t="n">
        <f aca="false">IF(F9&gt;0,B9/F9,"")</f>
        <v>4.23970588235294</v>
      </c>
      <c r="X9" s="12" t="n">
        <f aca="false">IF(H9&gt;0,B9/H9,"")</f>
        <v>288.3</v>
      </c>
      <c r="Y9" s="16" t="n">
        <f aca="false">IF(F9&gt;0,G9/F9,"")</f>
        <v>0.75</v>
      </c>
      <c r="Z9" s="16" t="n">
        <f aca="false">IF(G9&gt;0,H9/G9,"")</f>
        <v>0.0196078431372549</v>
      </c>
      <c r="AA9" s="15" t="n">
        <f aca="false">IF(C9&gt;0,I9/C9,"")</f>
        <v>0.19066846119336</v>
      </c>
      <c r="AB9" s="16" t="n">
        <f aca="false">IF(C9&gt;0,N9/C9,"")</f>
        <v>0.169134140870345</v>
      </c>
      <c r="AC9" s="16" t="n">
        <f aca="false">IF(N9&gt;0,R9/N9,"")</f>
        <v>0.0583554376657825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47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48</v>
      </c>
      <c r="B2" s="4" t="n">
        <v>141.67</v>
      </c>
      <c r="C2" s="5" t="n">
        <v>1671</v>
      </c>
      <c r="D2" s="5" t="n">
        <v>1211</v>
      </c>
      <c r="E2" s="5" t="n">
        <v>53</v>
      </c>
      <c r="F2" s="5" t="n">
        <v>34</v>
      </c>
      <c r="G2" s="5" t="n">
        <v>23</v>
      </c>
      <c r="H2" s="5" t="n">
        <v>1</v>
      </c>
      <c r="I2" s="5" t="n">
        <v>803</v>
      </c>
      <c r="J2" s="5" t="n">
        <v>14</v>
      </c>
      <c r="K2" s="5" t="n">
        <v>0</v>
      </c>
      <c r="L2" s="5" t="n">
        <v>3</v>
      </c>
      <c r="M2" s="5" t="n">
        <v>2</v>
      </c>
      <c r="N2" s="5" t="n">
        <v>750</v>
      </c>
      <c r="O2" s="5" t="n">
        <v>589</v>
      </c>
      <c r="P2" s="5" t="n">
        <v>194</v>
      </c>
      <c r="Q2" s="5" t="n">
        <v>93</v>
      </c>
      <c r="R2" s="5" t="n">
        <v>44</v>
      </c>
      <c r="S2" s="5" t="n">
        <v>47</v>
      </c>
      <c r="T2" s="8" t="n">
        <f aca="false">IF(D2&gt;0,C2/D2,"")</f>
        <v>1.37985136251032</v>
      </c>
      <c r="U2" s="6" t="n">
        <f aca="false">IF(C2&gt;0,F2/C2,"")</f>
        <v>0.0203470975463794</v>
      </c>
      <c r="V2" s="4" t="n">
        <f aca="false">IF(C2&gt;0,B2/C2*1000,"")</f>
        <v>84.7815679233992</v>
      </c>
      <c r="W2" s="4" t="n">
        <f aca="false">IF(F2&gt;0,B2/F2,"")</f>
        <v>4.16676470588235</v>
      </c>
      <c r="X2" s="4" t="n">
        <f aca="false">IF(H2&gt;0,B2/H2,"")</f>
        <v>141.67</v>
      </c>
      <c r="Y2" s="7" t="n">
        <f aca="false">IF(F2&gt;0,G2/F2,"")</f>
        <v>0.676470588235294</v>
      </c>
      <c r="Z2" s="7" t="n">
        <f aca="false">IF(G2&gt;0,H2/G2,"")</f>
        <v>0.0434782608695652</v>
      </c>
      <c r="AA2" s="6" t="n">
        <f aca="false">IF(C2&gt;0,I2/C2,"")</f>
        <v>0.480550568521843</v>
      </c>
      <c r="AB2" s="7" t="n">
        <f aca="false">IF(C2&gt;0,N2/C2,"")</f>
        <v>0.448833034111311</v>
      </c>
      <c r="AC2" s="7" t="n">
        <f aca="false">IF(N2&gt;0,R2/N2,"")</f>
        <v>0.0586666666666667</v>
      </c>
    </row>
    <row r="3" customFormat="false" ht="15" hidden="false" customHeight="false" outlineLevel="0" collapsed="false">
      <c r="A3" s="2" t="s">
        <v>49</v>
      </c>
      <c r="B3" s="4" t="n">
        <v>59.64</v>
      </c>
      <c r="C3" s="5" t="n">
        <v>1647</v>
      </c>
      <c r="D3" s="5" t="n">
        <v>1277</v>
      </c>
      <c r="E3" s="5" t="n">
        <v>21</v>
      </c>
      <c r="F3" s="5" t="n">
        <v>20</v>
      </c>
      <c r="G3" s="5" t="n">
        <v>16</v>
      </c>
      <c r="H3" s="5" t="n">
        <v>0</v>
      </c>
      <c r="I3" s="5" t="n">
        <v>22</v>
      </c>
      <c r="J3" s="5" t="n">
        <v>0</v>
      </c>
      <c r="K3" s="5" t="n">
        <v>0</v>
      </c>
      <c r="L3" s="5" t="n">
        <v>0</v>
      </c>
      <c r="M3" s="5" t="n">
        <v>2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 t="n">
        <f aca="false">IF(D3&gt;0,C3/D3,"")</f>
        <v>1.28974158183242</v>
      </c>
      <c r="U3" s="6" t="n">
        <f aca="false">IF(C3&gt;0,F3/C3,"")</f>
        <v>0.0121432908318154</v>
      </c>
      <c r="V3" s="4" t="n">
        <f aca="false">IF(C3&gt;0,B3/C3*1000,"")</f>
        <v>36.2112932604736</v>
      </c>
      <c r="W3" s="4" t="n">
        <f aca="false">IF(F3&gt;0,B3/F3,"")</f>
        <v>2.982</v>
      </c>
      <c r="X3" s="4" t="str">
        <f aca="false">IF(H3&gt;0,B3/H3,"")</f>
        <v/>
      </c>
      <c r="Y3" s="7" t="n">
        <f aca="false">IF(F3&gt;0,G3/F3,"")</f>
        <v>0.8</v>
      </c>
      <c r="Z3" s="7" t="n">
        <f aca="false">IF(G3&gt;0,H3/G3,"")</f>
        <v>0</v>
      </c>
      <c r="AA3" s="6" t="n">
        <f aca="false">IF(C3&gt;0,I3/C3,"")</f>
        <v>0.013357619914997</v>
      </c>
      <c r="AB3" s="7" t="n">
        <f aca="false">IF(C3&gt;0,N3/C3,"")</f>
        <v>0</v>
      </c>
      <c r="AC3" s="7" t="str">
        <f aca="false">IF(N3&gt;0,R3/N3,"")</f>
        <v/>
      </c>
    </row>
    <row r="4" customFormat="false" ht="15" hidden="false" customHeight="false" outlineLevel="0" collapsed="false">
      <c r="A4" s="2" t="s">
        <v>50</v>
      </c>
      <c r="B4" s="4" t="n">
        <v>49.1</v>
      </c>
      <c r="C4" s="5" t="n">
        <v>518</v>
      </c>
      <c r="D4" s="5" t="n">
        <v>368</v>
      </c>
      <c r="E4" s="5" t="n">
        <v>10</v>
      </c>
      <c r="F4" s="5" t="n">
        <v>5</v>
      </c>
      <c r="G4" s="5" t="n">
        <v>4</v>
      </c>
      <c r="H4" s="5" t="n">
        <v>0</v>
      </c>
      <c r="I4" s="5" t="n">
        <v>8</v>
      </c>
      <c r="J4" s="5" t="n">
        <v>2</v>
      </c>
      <c r="K4" s="5" t="n">
        <v>0</v>
      </c>
      <c r="L4" s="5" t="n">
        <v>0</v>
      </c>
      <c r="M4" s="5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8" t="n">
        <f aca="false">IF(D4&gt;0,C4/D4,"")</f>
        <v>1.40760869565217</v>
      </c>
      <c r="U4" s="6" t="n">
        <f aca="false">IF(C4&gt;0,F4/C4,"")</f>
        <v>0.00965250965250965</v>
      </c>
      <c r="V4" s="4" t="n">
        <f aca="false">IF(C4&gt;0,B4/C4*1000,"")</f>
        <v>94.7876447876448</v>
      </c>
      <c r="W4" s="4" t="n">
        <f aca="false">IF(F4&gt;0,B4/F4,"")</f>
        <v>9.82</v>
      </c>
      <c r="X4" s="4" t="str">
        <f aca="false">IF(H4&gt;0,B4/H4,"")</f>
        <v/>
      </c>
      <c r="Y4" s="7" t="n">
        <f aca="false">IF(F4&gt;0,G4/F4,"")</f>
        <v>0.8</v>
      </c>
      <c r="Z4" s="7" t="n">
        <f aca="false">IF(G4&gt;0,H4/G4,"")</f>
        <v>0</v>
      </c>
      <c r="AA4" s="6" t="n">
        <f aca="false">IF(C4&gt;0,I4/C4,"")</f>
        <v>0.0154440154440154</v>
      </c>
      <c r="AB4" s="7" t="n">
        <f aca="false">IF(C4&gt;0,N4/C4,"")</f>
        <v>0</v>
      </c>
      <c r="AC4" s="7" t="str">
        <f aca="false">IF(N4&gt;0,R4/N4,"")</f>
        <v/>
      </c>
    </row>
    <row r="5" customFormat="false" ht="15" hidden="false" customHeight="false" outlineLevel="0" collapsed="false">
      <c r="A5" s="2" t="s">
        <v>51</v>
      </c>
      <c r="B5" s="4" t="n">
        <v>21.81</v>
      </c>
      <c r="C5" s="5" t="n">
        <v>493</v>
      </c>
      <c r="D5" s="5" t="n">
        <v>406</v>
      </c>
      <c r="E5" s="5" t="n">
        <v>10</v>
      </c>
      <c r="F5" s="5" t="n">
        <v>9</v>
      </c>
      <c r="G5" s="5" t="n">
        <v>8</v>
      </c>
      <c r="H5" s="5" t="n">
        <v>0</v>
      </c>
      <c r="I5" s="5" t="n">
        <v>11</v>
      </c>
      <c r="J5" s="5" t="n">
        <v>2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8" t="n">
        <f aca="false">IF(D5&gt;0,C5/D5,"")</f>
        <v>1.21428571428571</v>
      </c>
      <c r="U5" s="6" t="n">
        <f aca="false">IF(C5&gt;0,F5/C5,"")</f>
        <v>0.0182555780933063</v>
      </c>
      <c r="V5" s="4" t="n">
        <f aca="false">IF(C5&gt;0,B5/C5*1000,"")</f>
        <v>44.2393509127789</v>
      </c>
      <c r="W5" s="4" t="n">
        <f aca="false">IF(F5&gt;0,B5/F5,"")</f>
        <v>2.42333333333333</v>
      </c>
      <c r="X5" s="4" t="str">
        <f aca="false">IF(H5&gt;0,B5/H5,"")</f>
        <v/>
      </c>
      <c r="Y5" s="7" t="n">
        <f aca="false">IF(F5&gt;0,G5/F5,"")</f>
        <v>0.888888888888889</v>
      </c>
      <c r="Z5" s="7" t="n">
        <f aca="false">IF(G5&gt;0,H5/G5,"")</f>
        <v>0</v>
      </c>
      <c r="AA5" s="6" t="n">
        <f aca="false">IF(C5&gt;0,I5/C5,"")</f>
        <v>0.0223123732251521</v>
      </c>
      <c r="AB5" s="7" t="n">
        <f aca="false">IF(C5&gt;0,N5/C5,"")</f>
        <v>0</v>
      </c>
      <c r="AC5" s="7" t="str">
        <f aca="false">IF(N5&gt;0,R5/N5,"")</f>
        <v/>
      </c>
    </row>
    <row r="6" customFormat="false" ht="15" hidden="false" customHeight="false" outlineLevel="0" collapsed="false">
      <c r="A6" s="2" t="s">
        <v>52</v>
      </c>
      <c r="B6" s="4" t="n">
        <v>14.19</v>
      </c>
      <c r="C6" s="5" t="n">
        <v>108</v>
      </c>
      <c r="D6" s="5" t="n">
        <v>89</v>
      </c>
      <c r="E6" s="5" t="n">
        <v>1</v>
      </c>
      <c r="F6" s="5" t="n">
        <v>0</v>
      </c>
      <c r="G6" s="5" t="n">
        <v>0</v>
      </c>
      <c r="H6" s="5" t="n">
        <v>0</v>
      </c>
      <c r="I6" s="5" t="n">
        <v>2</v>
      </c>
      <c r="J6" s="5" t="n">
        <v>2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8" t="n">
        <f aca="false">IF(D6&gt;0,C6/D6,"")</f>
        <v>1.21348314606742</v>
      </c>
      <c r="U6" s="6" t="n">
        <f aca="false">IF(C6&gt;0,F6/C6,"")</f>
        <v>0</v>
      </c>
      <c r="V6" s="4" t="n">
        <f aca="false">IF(C6&gt;0,B6/C6*1000,"")</f>
        <v>131.388888888889</v>
      </c>
      <c r="W6" s="4" t="str">
        <f aca="false">IF(F6&gt;0,B6/F6,"")</f>
        <v/>
      </c>
      <c r="X6" s="4" t="str">
        <f aca="false">IF(H6&gt;0,B6/H6,"")</f>
        <v/>
      </c>
      <c r="Y6" s="7" t="str">
        <f aca="false">IF(F6&gt;0,G6/F6,"")</f>
        <v/>
      </c>
      <c r="Z6" s="7" t="str">
        <f aca="false">IF(G6&gt;0,H6/G6,"")</f>
        <v/>
      </c>
      <c r="AA6" s="6" t="n">
        <f aca="false">IF(C6&gt;0,I6/C6,"")</f>
        <v>0.0185185185185185</v>
      </c>
      <c r="AB6" s="7" t="n">
        <f aca="false">IF(C6&gt;0,N6/C6,"")</f>
        <v>0</v>
      </c>
      <c r="AC6" s="7" t="str">
        <f aca="false">IF(N6&gt;0,R6/N6,"")</f>
        <v/>
      </c>
    </row>
    <row r="7" customFormat="false" ht="15" hidden="false" customHeight="false" outlineLevel="0" collapsed="false">
      <c r="A7" s="2" t="s">
        <v>53</v>
      </c>
      <c r="B7" s="4" t="n">
        <v>1.64</v>
      </c>
      <c r="C7" s="5" t="n">
        <v>18</v>
      </c>
      <c r="D7" s="5" t="n">
        <v>13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4</v>
      </c>
      <c r="O7" s="5" t="n">
        <v>4</v>
      </c>
      <c r="P7" s="5" t="n">
        <v>0</v>
      </c>
      <c r="Q7" s="5" t="n">
        <v>0</v>
      </c>
      <c r="R7" s="5" t="n">
        <v>0</v>
      </c>
      <c r="S7" s="5" t="n">
        <v>0</v>
      </c>
      <c r="T7" s="8" t="n">
        <f aca="false">IF(D7&gt;0,C7/D7,"")</f>
        <v>1.38461538461538</v>
      </c>
      <c r="U7" s="6" t="n">
        <f aca="false">IF(C7&gt;0,F7/C7,"")</f>
        <v>0</v>
      </c>
      <c r="V7" s="4" t="n">
        <f aca="false">IF(C7&gt;0,B7/C7*1000,"")</f>
        <v>91.1111111111111</v>
      </c>
      <c r="W7" s="4" t="str">
        <f aca="false">IF(F7&gt;0,B7/F7,"")</f>
        <v/>
      </c>
      <c r="X7" s="4" t="str">
        <f aca="false">IF(H7&gt;0,B7/H7,"")</f>
        <v/>
      </c>
      <c r="Y7" s="7" t="str">
        <f aca="false">IF(F7&gt;0,G7/F7,"")</f>
        <v/>
      </c>
      <c r="Z7" s="7" t="str">
        <f aca="false">IF(G7&gt;0,H7/G7,"")</f>
        <v/>
      </c>
      <c r="AA7" s="6" t="n">
        <f aca="false">IF(C7&gt;0,I7/C7,"")</f>
        <v>0.222222222222222</v>
      </c>
      <c r="AB7" s="7" t="n">
        <f aca="false">IF(C7&gt;0,N7/C7,"")</f>
        <v>0.222222222222222</v>
      </c>
      <c r="AC7" s="7" t="n">
        <f aca="false">IF(N7&gt;0,R7/N7,"")</f>
        <v>0</v>
      </c>
    </row>
    <row r="8" customFormat="false" ht="15" hidden="false" customHeight="false" outlineLevel="0" collapsed="false">
      <c r="A8" s="2" t="s">
        <v>54</v>
      </c>
      <c r="B8" s="4" t="n">
        <v>0.19</v>
      </c>
      <c r="C8" s="5" t="n">
        <v>1</v>
      </c>
      <c r="D8" s="5" t="n">
        <v>1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8" t="n">
        <f aca="false">IF(D8&gt;0,C8/D8,"")</f>
        <v>1</v>
      </c>
      <c r="U8" s="6" t="n">
        <f aca="false">IF(C8&gt;0,F8/C8,"")</f>
        <v>0</v>
      </c>
      <c r="V8" s="4" t="n">
        <f aca="false">IF(C8&gt;0,B8/C8*1000,"")</f>
        <v>190</v>
      </c>
      <c r="W8" s="4" t="str">
        <f aca="false">IF(F8&gt;0,B8/F8,"")</f>
        <v/>
      </c>
      <c r="X8" s="4" t="str">
        <f aca="false">IF(H8&gt;0,B8/H8,"")</f>
        <v/>
      </c>
      <c r="Y8" s="7" t="str">
        <f aca="false">IF(F8&gt;0,G8/F8,"")</f>
        <v/>
      </c>
      <c r="Z8" s="7" t="str">
        <f aca="false">IF(G8&gt;0,H8/G8,"")</f>
        <v/>
      </c>
      <c r="AA8" s="6" t="n">
        <f aca="false">IF(C8&gt;0,I8/C8,"")</f>
        <v>0</v>
      </c>
      <c r="AB8" s="7" t="n">
        <f aca="false">IF(C8&gt;0,N8/C8,"")</f>
        <v>0</v>
      </c>
      <c r="AC8" s="7" t="str">
        <f aca="false">IF(N8&gt;0,R8/N8,"")</f>
        <v/>
      </c>
    </row>
    <row r="9" customFormat="false" ht="15" hidden="false" customHeight="false" outlineLevel="0" collapsed="false">
      <c r="A9" s="2" t="s">
        <v>55</v>
      </c>
      <c r="B9" s="4" t="n">
        <v>0.06</v>
      </c>
      <c r="C9" s="5" t="n">
        <v>2</v>
      </c>
      <c r="D9" s="5" t="n">
        <v>2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8" t="n">
        <f aca="false">IF(D9&gt;0,C9/D9,"")</f>
        <v>1</v>
      </c>
      <c r="U9" s="6" t="n">
        <f aca="false">IF(C9&gt;0,F9/C9,"")</f>
        <v>0</v>
      </c>
      <c r="V9" s="4" t="n">
        <f aca="false">IF(C9&gt;0,B9/C9*1000,"")</f>
        <v>30</v>
      </c>
      <c r="W9" s="4" t="str">
        <f aca="false">IF(F9&gt;0,B9/F9,"")</f>
        <v/>
      </c>
      <c r="X9" s="4" t="str">
        <f aca="false">IF(H9&gt;0,B9/H9,"")</f>
        <v/>
      </c>
      <c r="Y9" s="7" t="str">
        <f aca="false">IF(F9&gt;0,G9/F9,"")</f>
        <v/>
      </c>
      <c r="Z9" s="7" t="str">
        <f aca="false">IF(G9&gt;0,H9/G9,"")</f>
        <v/>
      </c>
      <c r="AA9" s="6" t="n">
        <f aca="false">IF(C9&gt;0,I9/C9,"")</f>
        <v>0</v>
      </c>
      <c r="AB9" s="7" t="n">
        <f aca="false">IF(C9&gt;0,N9/C9,"")</f>
        <v>0</v>
      </c>
      <c r="AC9" s="7" t="str">
        <f aca="false">IF(N9&gt;0,R9/N9,"")</f>
        <v/>
      </c>
    </row>
    <row r="10" customFormat="false" ht="15" hidden="false" customHeight="false" outlineLevel="0" collapsed="false">
      <c r="A10" s="11" t="s">
        <v>46</v>
      </c>
      <c r="B10" s="12" t="n">
        <f aca="false">SUM(B2:B9)</f>
        <v>288.3</v>
      </c>
      <c r="C10" s="13" t="n">
        <f aca="false">SUM(C2:C9)</f>
        <v>4458</v>
      </c>
      <c r="D10" s="13"/>
      <c r="E10" s="13" t="n">
        <f aca="false">SUM(E2:E9)</f>
        <v>95</v>
      </c>
      <c r="F10" s="13" t="n">
        <f aca="false">SUM(F2:F9)</f>
        <v>68</v>
      </c>
      <c r="G10" s="13" t="n">
        <f aca="false">SUM(G2:G9)</f>
        <v>51</v>
      </c>
      <c r="H10" s="13" t="n">
        <f aca="false">SUM(H2:H9)</f>
        <v>1</v>
      </c>
      <c r="I10" s="13" t="n">
        <f aca="false">SUM(I2:I9)</f>
        <v>850</v>
      </c>
      <c r="J10" s="13" t="n">
        <f aca="false">SUM(J2:J9)</f>
        <v>20</v>
      </c>
      <c r="K10" s="13" t="n">
        <f aca="false">SUM(K2:K9)</f>
        <v>0</v>
      </c>
      <c r="L10" s="13" t="n">
        <f aca="false">SUM(L2:L9)</f>
        <v>3</v>
      </c>
      <c r="M10" s="13" t="n">
        <f aca="false">SUM(M2:M9)</f>
        <v>5</v>
      </c>
      <c r="N10" s="13" t="n">
        <f aca="false">SUM(N2:N9)</f>
        <v>754</v>
      </c>
      <c r="O10" s="13" t="n">
        <f aca="false">SUM(O2:O9)</f>
        <v>593</v>
      </c>
      <c r="P10" s="13" t="n">
        <f aca="false">SUM(P2:P9)</f>
        <v>194</v>
      </c>
      <c r="Q10" s="13" t="n">
        <f aca="false">SUM(Q2:Q9)</f>
        <v>93</v>
      </c>
      <c r="R10" s="13" t="n">
        <f aca="false">SUM(R2:R9)</f>
        <v>44</v>
      </c>
      <c r="S10" s="13" t="n">
        <f aca="false">SUM(S2:S9)</f>
        <v>47</v>
      </c>
      <c r="T10" s="14" t="str">
        <f aca="false">IF(D10&gt;0,C10/D10,"")</f>
        <v/>
      </c>
      <c r="U10" s="15" t="n">
        <f aca="false">IF(C10&gt;0,F10/C10,"")</f>
        <v>0.0152534768954688</v>
      </c>
      <c r="V10" s="12" t="n">
        <f aca="false">IF(C10&gt;0,B10/C10*1000,"")</f>
        <v>64.6702557200538</v>
      </c>
      <c r="W10" s="12" t="n">
        <f aca="false">IF(F10&gt;0,B10/F10,"")</f>
        <v>4.23970588235294</v>
      </c>
      <c r="X10" s="12" t="n">
        <f aca="false">IF(H10&gt;0,B10/H10,"")</f>
        <v>288.3</v>
      </c>
      <c r="Y10" s="16" t="n">
        <f aca="false">IF(F10&gt;0,G10/F10,"")</f>
        <v>0.75</v>
      </c>
      <c r="Z10" s="16" t="n">
        <f aca="false">IF(G10&gt;0,H10/G10,"")</f>
        <v>0.0196078431372549</v>
      </c>
      <c r="AA10" s="15" t="n">
        <f aca="false">IF(C10&gt;0,I10/C10,"")</f>
        <v>0.19066846119336</v>
      </c>
      <c r="AB10" s="16" t="n">
        <f aca="false">IF(C10&gt;0,N10/C10,"")</f>
        <v>0.169134140870345</v>
      </c>
      <c r="AC10" s="16" t="n">
        <f aca="false">IF(N10&gt;0,R10/N10,"")</f>
        <v>0.0583554376657825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56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57</v>
      </c>
      <c r="B2" s="4" t="n">
        <v>70.92</v>
      </c>
      <c r="C2" s="5" t="n">
        <v>802</v>
      </c>
      <c r="D2" s="5" t="n">
        <v>575</v>
      </c>
      <c r="E2" s="5" t="n">
        <v>20</v>
      </c>
      <c r="F2" s="5" t="n">
        <v>10</v>
      </c>
      <c r="G2" s="5" t="n">
        <v>6</v>
      </c>
      <c r="H2" s="5" t="n">
        <v>0</v>
      </c>
      <c r="I2" s="5" t="n">
        <v>214</v>
      </c>
      <c r="J2" s="5" t="n">
        <v>3</v>
      </c>
      <c r="K2" s="5" t="n">
        <v>0</v>
      </c>
      <c r="L2" s="5" t="n">
        <v>1</v>
      </c>
      <c r="M2" s="5" t="n">
        <v>1</v>
      </c>
      <c r="N2" s="5" t="n">
        <v>199</v>
      </c>
      <c r="O2" s="5" t="n">
        <v>155</v>
      </c>
      <c r="P2" s="5" t="n">
        <v>57</v>
      </c>
      <c r="Q2" s="5" t="n">
        <v>29</v>
      </c>
      <c r="R2" s="5" t="n">
        <v>16</v>
      </c>
      <c r="S2" s="5" t="n">
        <v>18</v>
      </c>
      <c r="T2" s="8" t="n">
        <f aca="false">IF(D2&gt;0,C2/D2,"")</f>
        <v>1.39478260869565</v>
      </c>
      <c r="U2" s="6" t="n">
        <f aca="false">IF(C2&gt;0,F2/C2,"")</f>
        <v>0.0124688279301746</v>
      </c>
      <c r="V2" s="4" t="n">
        <f aca="false">IF(C2&gt;0,B2/C2*1000,"")</f>
        <v>88.428927680798</v>
      </c>
      <c r="W2" s="4" t="n">
        <f aca="false">IF(F2&gt;0,B2/F2,"")</f>
        <v>7.092</v>
      </c>
      <c r="X2" s="4" t="str">
        <f aca="false">IF(H2&gt;0,B2/H2,"")</f>
        <v/>
      </c>
      <c r="Y2" s="7" t="n">
        <f aca="false">IF(F2&gt;0,G2/F2,"")</f>
        <v>0.6</v>
      </c>
      <c r="Z2" s="7" t="n">
        <f aca="false">IF(G2&gt;0,H2/G2,"")</f>
        <v>0</v>
      </c>
      <c r="AA2" s="6" t="n">
        <f aca="false">IF(C2&gt;0,I2/C2,"")</f>
        <v>0.266832917705736</v>
      </c>
      <c r="AB2" s="7" t="n">
        <f aca="false">IF(C2&gt;0,N2/C2,"")</f>
        <v>0.248129675810474</v>
      </c>
      <c r="AC2" s="7" t="n">
        <f aca="false">IF(N2&gt;0,R2/N2,"")</f>
        <v>0.0804020100502513</v>
      </c>
    </row>
    <row r="3" customFormat="false" ht="15" hidden="false" customHeight="false" outlineLevel="0" collapsed="false">
      <c r="A3" s="2" t="s">
        <v>58</v>
      </c>
      <c r="B3" s="4" t="n">
        <v>68.4</v>
      </c>
      <c r="C3" s="5" t="n">
        <v>1055</v>
      </c>
      <c r="D3" s="5" t="n">
        <v>759</v>
      </c>
      <c r="E3" s="5" t="n">
        <v>23</v>
      </c>
      <c r="F3" s="5" t="n">
        <v>14</v>
      </c>
      <c r="G3" s="5" t="n">
        <v>8</v>
      </c>
      <c r="H3" s="5" t="n">
        <v>0</v>
      </c>
      <c r="I3" s="5" t="n">
        <v>259</v>
      </c>
      <c r="J3" s="5" t="n">
        <v>5</v>
      </c>
      <c r="K3" s="5" t="n">
        <v>0</v>
      </c>
      <c r="L3" s="5" t="n">
        <v>0</v>
      </c>
      <c r="M3" s="5" t="n">
        <v>1</v>
      </c>
      <c r="N3" s="5" t="n">
        <v>239</v>
      </c>
      <c r="O3" s="5" t="n">
        <v>186</v>
      </c>
      <c r="P3" s="5" t="n">
        <v>55</v>
      </c>
      <c r="Q3" s="5" t="n">
        <v>26</v>
      </c>
      <c r="R3" s="5" t="n">
        <v>10</v>
      </c>
      <c r="S3" s="5" t="n">
        <v>11</v>
      </c>
      <c r="T3" s="8" t="n">
        <f aca="false">IF(D3&gt;0,C3/D3,"")</f>
        <v>1.38998682476943</v>
      </c>
      <c r="U3" s="6" t="n">
        <f aca="false">IF(C3&gt;0,F3/C3,"")</f>
        <v>0.0132701421800948</v>
      </c>
      <c r="V3" s="4" t="n">
        <f aca="false">IF(C3&gt;0,B3/C3*1000,"")</f>
        <v>64.8341232227488</v>
      </c>
      <c r="W3" s="4" t="n">
        <f aca="false">IF(F3&gt;0,B3/F3,"")</f>
        <v>4.88571428571429</v>
      </c>
      <c r="X3" s="4" t="str">
        <f aca="false">IF(H3&gt;0,B3/H3,"")</f>
        <v/>
      </c>
      <c r="Y3" s="7" t="n">
        <f aca="false">IF(F3&gt;0,G3/F3,"")</f>
        <v>0.571428571428571</v>
      </c>
      <c r="Z3" s="7" t="n">
        <f aca="false">IF(G3&gt;0,H3/G3,"")</f>
        <v>0</v>
      </c>
      <c r="AA3" s="6" t="n">
        <f aca="false">IF(C3&gt;0,I3/C3,"")</f>
        <v>0.245497630331754</v>
      </c>
      <c r="AB3" s="7" t="n">
        <f aca="false">IF(C3&gt;0,N3/C3,"")</f>
        <v>0.22654028436019</v>
      </c>
      <c r="AC3" s="7" t="n">
        <f aca="false">IF(N3&gt;0,R3/N3,"")</f>
        <v>0.0418410041841004</v>
      </c>
    </row>
    <row r="4" customFormat="false" ht="15" hidden="false" customHeight="false" outlineLevel="0" collapsed="false">
      <c r="A4" s="2" t="s">
        <v>59</v>
      </c>
      <c r="B4" s="4" t="n">
        <v>63.27</v>
      </c>
      <c r="C4" s="5" t="n">
        <v>1178</v>
      </c>
      <c r="D4" s="5" t="n">
        <v>828</v>
      </c>
      <c r="E4" s="5" t="n">
        <v>21</v>
      </c>
      <c r="F4" s="5" t="n">
        <v>22</v>
      </c>
      <c r="G4" s="5" t="n">
        <v>18</v>
      </c>
      <c r="H4" s="5" t="n">
        <v>1</v>
      </c>
      <c r="I4" s="5" t="n">
        <v>140</v>
      </c>
      <c r="J4" s="5" t="n">
        <v>1</v>
      </c>
      <c r="K4" s="5" t="n">
        <v>0</v>
      </c>
      <c r="L4" s="5" t="n">
        <v>1</v>
      </c>
      <c r="M4" s="5" t="n">
        <v>3</v>
      </c>
      <c r="N4" s="5" t="n">
        <v>113</v>
      </c>
      <c r="O4" s="5" t="n">
        <v>89</v>
      </c>
      <c r="P4" s="5" t="n">
        <v>31</v>
      </c>
      <c r="Q4" s="5" t="n">
        <v>13</v>
      </c>
      <c r="R4" s="5" t="n">
        <v>4</v>
      </c>
      <c r="S4" s="5" t="n">
        <v>4</v>
      </c>
      <c r="T4" s="8" t="n">
        <f aca="false">IF(D4&gt;0,C4/D4,"")</f>
        <v>1.42270531400966</v>
      </c>
      <c r="U4" s="6" t="n">
        <f aca="false">IF(C4&gt;0,F4/C4,"")</f>
        <v>0.0186757215619694</v>
      </c>
      <c r="V4" s="4" t="n">
        <f aca="false">IF(C4&gt;0,B4/C4*1000,"")</f>
        <v>53.7096774193548</v>
      </c>
      <c r="W4" s="4" t="n">
        <f aca="false">IF(F4&gt;0,B4/F4,"")</f>
        <v>2.87590909090909</v>
      </c>
      <c r="X4" s="4" t="n">
        <f aca="false">IF(H4&gt;0,B4/H4,"")</f>
        <v>63.27</v>
      </c>
      <c r="Y4" s="7" t="n">
        <f aca="false">IF(F4&gt;0,G4/F4,"")</f>
        <v>0.818181818181818</v>
      </c>
      <c r="Z4" s="7" t="n">
        <f aca="false">IF(G4&gt;0,H4/G4,"")</f>
        <v>0.0555555555555556</v>
      </c>
      <c r="AA4" s="6" t="n">
        <f aca="false">IF(C4&gt;0,I4/C4,"")</f>
        <v>0.118845500848896</v>
      </c>
      <c r="AB4" s="7" t="n">
        <f aca="false">IF(C4&gt;0,N4/C4,"")</f>
        <v>0.0959252971137521</v>
      </c>
      <c r="AC4" s="7" t="n">
        <f aca="false">IF(N4&gt;0,R4/N4,"")</f>
        <v>0.0353982300884956</v>
      </c>
    </row>
    <row r="5" customFormat="false" ht="15" hidden="false" customHeight="false" outlineLevel="0" collapsed="false">
      <c r="A5" s="2" t="s">
        <v>60</v>
      </c>
      <c r="B5" s="4" t="n">
        <v>55.76</v>
      </c>
      <c r="C5" s="5" t="n">
        <v>753</v>
      </c>
      <c r="D5" s="5" t="n">
        <v>527</v>
      </c>
      <c r="E5" s="5" t="n">
        <v>15</v>
      </c>
      <c r="F5" s="5" t="n">
        <v>11</v>
      </c>
      <c r="G5" s="5" t="n">
        <v>8</v>
      </c>
      <c r="H5" s="5" t="n">
        <v>0</v>
      </c>
      <c r="I5" s="5" t="n">
        <v>121</v>
      </c>
      <c r="J5" s="5" t="n">
        <v>4</v>
      </c>
      <c r="K5" s="5" t="n">
        <v>0</v>
      </c>
      <c r="L5" s="5" t="n">
        <v>0</v>
      </c>
      <c r="M5" s="5" t="n">
        <v>0</v>
      </c>
      <c r="N5" s="5" t="n">
        <v>106</v>
      </c>
      <c r="O5" s="5" t="n">
        <v>85</v>
      </c>
      <c r="P5" s="5" t="n">
        <v>30</v>
      </c>
      <c r="Q5" s="5" t="n">
        <v>19</v>
      </c>
      <c r="R5" s="5" t="n">
        <v>11</v>
      </c>
      <c r="S5" s="5" t="n">
        <v>11</v>
      </c>
      <c r="T5" s="8" t="n">
        <f aca="false">IF(D5&gt;0,C5/D5,"")</f>
        <v>1.42884250474383</v>
      </c>
      <c r="U5" s="6" t="n">
        <f aca="false">IF(C5&gt;0,F5/C5,"")</f>
        <v>0.0146082337317397</v>
      </c>
      <c r="V5" s="4" t="n">
        <f aca="false">IF(C5&gt;0,B5/C5*1000,"")</f>
        <v>74.0504648074369</v>
      </c>
      <c r="W5" s="4" t="n">
        <f aca="false">IF(F5&gt;0,B5/F5,"")</f>
        <v>5.06909090909091</v>
      </c>
      <c r="X5" s="4" t="str">
        <f aca="false">IF(H5&gt;0,B5/H5,"")</f>
        <v/>
      </c>
      <c r="Y5" s="7" t="n">
        <f aca="false">IF(F5&gt;0,G5/F5,"")</f>
        <v>0.727272727272727</v>
      </c>
      <c r="Z5" s="7" t="n">
        <f aca="false">IF(G5&gt;0,H5/G5,"")</f>
        <v>0</v>
      </c>
      <c r="AA5" s="6" t="n">
        <f aca="false">IF(C5&gt;0,I5/C5,"")</f>
        <v>0.160690571049137</v>
      </c>
      <c r="AB5" s="7" t="n">
        <f aca="false">IF(C5&gt;0,N5/C5,"")</f>
        <v>0.140770252324037</v>
      </c>
      <c r="AC5" s="7" t="n">
        <f aca="false">IF(N5&gt;0,R5/N5,"")</f>
        <v>0.10377358490566</v>
      </c>
    </row>
    <row r="6" customFormat="false" ht="15" hidden="false" customHeight="false" outlineLevel="0" collapsed="false">
      <c r="A6" s="2" t="s">
        <v>61</v>
      </c>
      <c r="B6" s="4" t="n">
        <v>29.95</v>
      </c>
      <c r="C6" s="5" t="n">
        <v>670</v>
      </c>
      <c r="D6" s="5" t="n">
        <v>448</v>
      </c>
      <c r="E6" s="5" t="n">
        <v>16</v>
      </c>
      <c r="F6" s="5" t="n">
        <v>11</v>
      </c>
      <c r="G6" s="5" t="n">
        <v>11</v>
      </c>
      <c r="H6" s="5" t="n">
        <v>0</v>
      </c>
      <c r="I6" s="5" t="n">
        <v>116</v>
      </c>
      <c r="J6" s="5" t="n">
        <v>7</v>
      </c>
      <c r="K6" s="5" t="n">
        <v>0</v>
      </c>
      <c r="L6" s="5" t="n">
        <v>1</v>
      </c>
      <c r="M6" s="5" t="n">
        <v>0</v>
      </c>
      <c r="N6" s="5" t="n">
        <v>97</v>
      </c>
      <c r="O6" s="5" t="n">
        <v>78</v>
      </c>
      <c r="P6" s="5" t="n">
        <v>21</v>
      </c>
      <c r="Q6" s="5" t="n">
        <v>6</v>
      </c>
      <c r="R6" s="5" t="n">
        <v>3</v>
      </c>
      <c r="S6" s="5" t="n">
        <v>3</v>
      </c>
      <c r="T6" s="8" t="n">
        <f aca="false">IF(D6&gt;0,C6/D6,"")</f>
        <v>1.49553571428571</v>
      </c>
      <c r="U6" s="6" t="n">
        <f aca="false">IF(C6&gt;0,F6/C6,"")</f>
        <v>0.0164179104477612</v>
      </c>
      <c r="V6" s="4" t="n">
        <f aca="false">IF(C6&gt;0,B6/C6*1000,"")</f>
        <v>44.7014925373134</v>
      </c>
      <c r="W6" s="4" t="n">
        <f aca="false">IF(F6&gt;0,B6/F6,"")</f>
        <v>2.72272727272727</v>
      </c>
      <c r="X6" s="4" t="str">
        <f aca="false">IF(H6&gt;0,B6/H6,"")</f>
        <v/>
      </c>
      <c r="Y6" s="7" t="n">
        <f aca="false">IF(F6&gt;0,G6/F6,"")</f>
        <v>1</v>
      </c>
      <c r="Z6" s="7" t="n">
        <f aca="false">IF(G6&gt;0,H6/G6,"")</f>
        <v>0</v>
      </c>
      <c r="AA6" s="6" t="n">
        <f aca="false">IF(C6&gt;0,I6/C6,"")</f>
        <v>0.173134328358209</v>
      </c>
      <c r="AB6" s="7" t="n">
        <f aca="false">IF(C6&gt;0,N6/C6,"")</f>
        <v>0.144776119402985</v>
      </c>
      <c r="AC6" s="7" t="n">
        <f aca="false">IF(N6&gt;0,R6/N6,"")</f>
        <v>0.0309278350515464</v>
      </c>
    </row>
    <row r="7" customFormat="false" ht="15" hidden="false" customHeight="false" outlineLevel="0" collapsed="false">
      <c r="A7" s="11" t="s">
        <v>46</v>
      </c>
      <c r="B7" s="12" t="n">
        <f aca="false">SUM(B2:B6)</f>
        <v>288.3</v>
      </c>
      <c r="C7" s="13" t="n">
        <f aca="false">SUM(C2:C6)</f>
        <v>4458</v>
      </c>
      <c r="D7" s="13"/>
      <c r="E7" s="13" t="n">
        <f aca="false">SUM(E2:E6)</f>
        <v>95</v>
      </c>
      <c r="F7" s="13" t="n">
        <f aca="false">SUM(F2:F6)</f>
        <v>68</v>
      </c>
      <c r="G7" s="13" t="n">
        <f aca="false">SUM(G2:G6)</f>
        <v>51</v>
      </c>
      <c r="H7" s="13" t="n">
        <f aca="false">SUM(H2:H6)</f>
        <v>1</v>
      </c>
      <c r="I7" s="13" t="n">
        <f aca="false">SUM(I2:I6)</f>
        <v>850</v>
      </c>
      <c r="J7" s="13" t="n">
        <f aca="false">SUM(J2:J6)</f>
        <v>20</v>
      </c>
      <c r="K7" s="13" t="n">
        <f aca="false">SUM(K2:K6)</f>
        <v>0</v>
      </c>
      <c r="L7" s="13" t="n">
        <f aca="false">SUM(L2:L6)</f>
        <v>3</v>
      </c>
      <c r="M7" s="13" t="n">
        <f aca="false">SUM(M2:M6)</f>
        <v>5</v>
      </c>
      <c r="N7" s="13" t="n">
        <f aca="false">SUM(N2:N6)</f>
        <v>754</v>
      </c>
      <c r="O7" s="13" t="n">
        <f aca="false">SUM(O2:O6)</f>
        <v>593</v>
      </c>
      <c r="P7" s="13" t="n">
        <f aca="false">SUM(P2:P6)</f>
        <v>194</v>
      </c>
      <c r="Q7" s="13" t="n">
        <f aca="false">SUM(Q2:Q6)</f>
        <v>93</v>
      </c>
      <c r="R7" s="13" t="n">
        <f aca="false">SUM(R2:R6)</f>
        <v>44</v>
      </c>
      <c r="S7" s="13" t="n">
        <f aca="false">SUM(S2:S6)</f>
        <v>47</v>
      </c>
      <c r="T7" s="14" t="str">
        <f aca="false">IF(D7&gt;0,C7/D7,"")</f>
        <v/>
      </c>
      <c r="U7" s="15" t="n">
        <f aca="false">IF(C7&gt;0,F7/C7,"")</f>
        <v>0.0152534768954688</v>
      </c>
      <c r="V7" s="12" t="n">
        <f aca="false">IF(C7&gt;0,B7/C7*1000,"")</f>
        <v>64.6702557200538</v>
      </c>
      <c r="W7" s="12" t="n">
        <f aca="false">IF(F7&gt;0,B7/F7,"")</f>
        <v>4.23970588235294</v>
      </c>
      <c r="X7" s="12" t="n">
        <f aca="false">IF(H7&gt;0,B7/H7,"")</f>
        <v>288.3</v>
      </c>
      <c r="Y7" s="16" t="n">
        <f aca="false">IF(F7&gt;0,G7/F7,"")</f>
        <v>0.75</v>
      </c>
      <c r="Z7" s="16" t="n">
        <f aca="false">IF(G7&gt;0,H7/G7,"")</f>
        <v>0.0196078431372549</v>
      </c>
      <c r="AA7" s="15" t="n">
        <f aca="false">IF(C7&gt;0,I7/C7,"")</f>
        <v>0.19066846119336</v>
      </c>
      <c r="AB7" s="16" t="n">
        <f aca="false">IF(C7&gt;0,N7/C7,"")</f>
        <v>0.169134140870345</v>
      </c>
      <c r="AC7" s="16" t="n">
        <f aca="false">IF(N7&gt;0,R7/N7,"")</f>
        <v>0.0583554376657825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62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63</v>
      </c>
      <c r="B2" s="4" t="n">
        <v>168.93</v>
      </c>
      <c r="C2" s="5" t="n">
        <v>2386</v>
      </c>
      <c r="D2" s="5" t="n">
        <v>1601</v>
      </c>
      <c r="E2" s="5" t="n">
        <v>60</v>
      </c>
      <c r="F2" s="5" t="n">
        <v>41</v>
      </c>
      <c r="G2" s="5" t="n">
        <v>29</v>
      </c>
      <c r="H2" s="5" t="n">
        <v>1</v>
      </c>
      <c r="I2" s="5" t="n">
        <v>618</v>
      </c>
      <c r="J2" s="5" t="n">
        <v>11</v>
      </c>
      <c r="K2" s="5" t="n">
        <v>0</v>
      </c>
      <c r="L2" s="5" t="n">
        <v>2</v>
      </c>
      <c r="M2" s="5" t="n">
        <v>2</v>
      </c>
      <c r="N2" s="5" t="n">
        <v>562</v>
      </c>
      <c r="O2" s="5" t="n">
        <v>440</v>
      </c>
      <c r="P2" s="5" t="n">
        <v>144</v>
      </c>
      <c r="Q2" s="5" t="n">
        <v>71</v>
      </c>
      <c r="R2" s="5" t="n">
        <v>30</v>
      </c>
      <c r="S2" s="5" t="n">
        <v>32</v>
      </c>
      <c r="T2" s="8" t="n">
        <f aca="false">IF(D2&gt;0,C2/D2,"")</f>
        <v>1.49031855090568</v>
      </c>
      <c r="U2" s="6" t="n">
        <f aca="false">IF(C2&gt;0,F2/C2,"")</f>
        <v>0.0171835708298407</v>
      </c>
      <c r="V2" s="4" t="n">
        <f aca="false">IF(C2&gt;0,B2/C2*1000,"")</f>
        <v>70.8005029337804</v>
      </c>
      <c r="W2" s="4" t="n">
        <f aca="false">IF(F2&gt;0,B2/F2,"")</f>
        <v>4.12024390243902</v>
      </c>
      <c r="X2" s="4" t="n">
        <f aca="false">IF(H2&gt;0,B2/H2,"")</f>
        <v>168.93</v>
      </c>
      <c r="Y2" s="7" t="n">
        <f aca="false">IF(F2&gt;0,G2/F2,"")</f>
        <v>0.707317073170732</v>
      </c>
      <c r="Z2" s="7" t="n">
        <f aca="false">IF(G2&gt;0,H2/G2,"")</f>
        <v>0.0344827586206897</v>
      </c>
      <c r="AA2" s="6" t="n">
        <f aca="false">IF(C2&gt;0,I2/C2,"")</f>
        <v>0.259010896898575</v>
      </c>
      <c r="AB2" s="7" t="n">
        <f aca="false">IF(C2&gt;0,N2/C2,"")</f>
        <v>0.235540653813915</v>
      </c>
      <c r="AC2" s="7" t="n">
        <f aca="false">IF(N2&gt;0,R2/N2,"")</f>
        <v>0.0533807829181495</v>
      </c>
    </row>
    <row r="3" customFormat="false" ht="15" hidden="false" customHeight="false" outlineLevel="0" collapsed="false">
      <c r="A3" s="2" t="s">
        <v>64</v>
      </c>
      <c r="B3" s="4" t="n">
        <v>117.81</v>
      </c>
      <c r="C3" s="5" t="n">
        <v>2039</v>
      </c>
      <c r="D3" s="5" t="n">
        <v>1456</v>
      </c>
      <c r="E3" s="5" t="n">
        <v>34</v>
      </c>
      <c r="F3" s="5" t="n">
        <v>26</v>
      </c>
      <c r="G3" s="5" t="n">
        <v>21</v>
      </c>
      <c r="H3" s="5" t="n">
        <v>0</v>
      </c>
      <c r="I3" s="5" t="n">
        <v>227</v>
      </c>
      <c r="J3" s="5" t="n">
        <v>9</v>
      </c>
      <c r="K3" s="5" t="n">
        <v>0</v>
      </c>
      <c r="L3" s="5" t="n">
        <v>1</v>
      </c>
      <c r="M3" s="5" t="n">
        <v>3</v>
      </c>
      <c r="N3" s="5" t="n">
        <v>188</v>
      </c>
      <c r="O3" s="5" t="n">
        <v>149</v>
      </c>
      <c r="P3" s="5" t="n">
        <v>48</v>
      </c>
      <c r="Q3" s="5" t="n">
        <v>21</v>
      </c>
      <c r="R3" s="5" t="n">
        <v>13</v>
      </c>
      <c r="S3" s="5" t="n">
        <v>14</v>
      </c>
      <c r="T3" s="8" t="n">
        <f aca="false">IF(D3&gt;0,C3/D3,"")</f>
        <v>1.40041208791209</v>
      </c>
      <c r="U3" s="6" t="n">
        <f aca="false">IF(C3&gt;0,F3/C3,"")</f>
        <v>0.0127513487003433</v>
      </c>
      <c r="V3" s="4" t="n">
        <f aca="false">IF(C3&gt;0,B3/C3*1000,"")</f>
        <v>57.7783227072094</v>
      </c>
      <c r="W3" s="4" t="n">
        <f aca="false">IF(F3&gt;0,B3/F3,"")</f>
        <v>4.53115384615385</v>
      </c>
      <c r="X3" s="4" t="str">
        <f aca="false">IF(H3&gt;0,B3/H3,"")</f>
        <v/>
      </c>
      <c r="Y3" s="7" t="n">
        <f aca="false">IF(F3&gt;0,G3/F3,"")</f>
        <v>0.807692307692308</v>
      </c>
      <c r="Z3" s="7" t="n">
        <f aca="false">IF(G3&gt;0,H3/G3,"")</f>
        <v>0</v>
      </c>
      <c r="AA3" s="6" t="n">
        <f aca="false">IF(C3&gt;0,I3/C3,"")</f>
        <v>0.111329082883767</v>
      </c>
      <c r="AB3" s="7" t="n">
        <f aca="false">IF(C3&gt;0,N3/C3,"")</f>
        <v>0.0922020598332516</v>
      </c>
      <c r="AC3" s="7" t="n">
        <f aca="false">IF(N3&gt;0,R3/N3,"")</f>
        <v>0.0691489361702128</v>
      </c>
    </row>
    <row r="4" customFormat="false" ht="15" hidden="false" customHeight="false" outlineLevel="0" collapsed="false">
      <c r="A4" s="2" t="s">
        <v>65</v>
      </c>
      <c r="B4" s="4" t="n">
        <v>1.56</v>
      </c>
      <c r="C4" s="5" t="n">
        <v>33</v>
      </c>
      <c r="D4" s="5" t="n">
        <v>27</v>
      </c>
      <c r="E4" s="5" t="n">
        <v>1</v>
      </c>
      <c r="F4" s="5" t="n">
        <v>1</v>
      </c>
      <c r="G4" s="5" t="n">
        <v>1</v>
      </c>
      <c r="H4" s="5" t="n">
        <v>0</v>
      </c>
      <c r="I4" s="5" t="n">
        <v>5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4</v>
      </c>
      <c r="O4" s="5" t="n">
        <v>4</v>
      </c>
      <c r="P4" s="5" t="n">
        <v>2</v>
      </c>
      <c r="Q4" s="5" t="n">
        <v>1</v>
      </c>
      <c r="R4" s="5" t="n">
        <v>1</v>
      </c>
      <c r="S4" s="5" t="n">
        <v>1</v>
      </c>
      <c r="T4" s="8" t="n">
        <f aca="false">IF(D4&gt;0,C4/D4,"")</f>
        <v>1.22222222222222</v>
      </c>
      <c r="U4" s="6" t="n">
        <f aca="false">IF(C4&gt;0,F4/C4,"")</f>
        <v>0.0303030303030303</v>
      </c>
      <c r="V4" s="4" t="n">
        <f aca="false">IF(C4&gt;0,B4/C4*1000,"")</f>
        <v>47.2727272727273</v>
      </c>
      <c r="W4" s="4" t="n">
        <f aca="false">IF(F4&gt;0,B4/F4,"")</f>
        <v>1.56</v>
      </c>
      <c r="X4" s="4" t="str">
        <f aca="false">IF(H4&gt;0,B4/H4,"")</f>
        <v/>
      </c>
      <c r="Y4" s="7" t="n">
        <f aca="false">IF(F4&gt;0,G4/F4,"")</f>
        <v>1</v>
      </c>
      <c r="Z4" s="7" t="n">
        <f aca="false">IF(G4&gt;0,H4/G4,"")</f>
        <v>0</v>
      </c>
      <c r="AA4" s="6" t="n">
        <f aca="false">IF(C4&gt;0,I4/C4,"")</f>
        <v>0.151515151515152</v>
      </c>
      <c r="AB4" s="7" t="n">
        <f aca="false">IF(C4&gt;0,N4/C4,"")</f>
        <v>0.121212121212121</v>
      </c>
      <c r="AC4" s="7" t="n">
        <f aca="false">IF(N4&gt;0,R4/N4,"")</f>
        <v>0.25</v>
      </c>
    </row>
    <row r="5" customFormat="false" ht="15" hidden="false" customHeight="false" outlineLevel="0" collapsed="false">
      <c r="A5" s="11" t="s">
        <v>46</v>
      </c>
      <c r="B5" s="12" t="n">
        <f aca="false">SUM(B2:B4)</f>
        <v>288.3</v>
      </c>
      <c r="C5" s="13" t="n">
        <f aca="false">SUM(C2:C4)</f>
        <v>4458</v>
      </c>
      <c r="D5" s="13"/>
      <c r="E5" s="13" t="n">
        <f aca="false">SUM(E2:E4)</f>
        <v>95</v>
      </c>
      <c r="F5" s="13" t="n">
        <f aca="false">SUM(F2:F4)</f>
        <v>68</v>
      </c>
      <c r="G5" s="13" t="n">
        <f aca="false">SUM(G2:G4)</f>
        <v>51</v>
      </c>
      <c r="H5" s="13" t="n">
        <f aca="false">SUM(H2:H4)</f>
        <v>1</v>
      </c>
      <c r="I5" s="13" t="n">
        <f aca="false">SUM(I2:I4)</f>
        <v>850</v>
      </c>
      <c r="J5" s="13" t="n">
        <f aca="false">SUM(J2:J4)</f>
        <v>20</v>
      </c>
      <c r="K5" s="13" t="n">
        <f aca="false">SUM(K2:K4)</f>
        <v>0</v>
      </c>
      <c r="L5" s="13" t="n">
        <f aca="false">SUM(L2:L4)</f>
        <v>3</v>
      </c>
      <c r="M5" s="13" t="n">
        <f aca="false">SUM(M2:M4)</f>
        <v>5</v>
      </c>
      <c r="N5" s="13" t="n">
        <f aca="false">SUM(N2:N4)</f>
        <v>754</v>
      </c>
      <c r="O5" s="13" t="n">
        <f aca="false">SUM(O2:O4)</f>
        <v>593</v>
      </c>
      <c r="P5" s="13" t="n">
        <f aca="false">SUM(P2:P4)</f>
        <v>194</v>
      </c>
      <c r="Q5" s="13" t="n">
        <f aca="false">SUM(Q2:Q4)</f>
        <v>93</v>
      </c>
      <c r="R5" s="13" t="n">
        <f aca="false">SUM(R2:R4)</f>
        <v>44</v>
      </c>
      <c r="S5" s="13" t="n">
        <f aca="false">SUM(S2:S4)</f>
        <v>47</v>
      </c>
      <c r="T5" s="14" t="str">
        <f aca="false">IF(D5&gt;0,C5/D5,"")</f>
        <v/>
      </c>
      <c r="U5" s="15" t="n">
        <f aca="false">IF(C5&gt;0,F5/C5,"")</f>
        <v>0.0152534768954688</v>
      </c>
      <c r="V5" s="12" t="n">
        <f aca="false">IF(C5&gt;0,B5/C5*1000,"")</f>
        <v>64.6702557200538</v>
      </c>
      <c r="W5" s="12" t="n">
        <f aca="false">IF(F5&gt;0,B5/F5,"")</f>
        <v>4.23970588235294</v>
      </c>
      <c r="X5" s="12" t="n">
        <f aca="false">IF(H5&gt;0,B5/H5,"")</f>
        <v>288.3</v>
      </c>
      <c r="Y5" s="16" t="n">
        <f aca="false">IF(F5&gt;0,G5/F5,"")</f>
        <v>0.75</v>
      </c>
      <c r="Z5" s="16" t="n">
        <f aca="false">IF(G5&gt;0,H5/G5,"")</f>
        <v>0.0196078431372549</v>
      </c>
      <c r="AA5" s="15" t="n">
        <f aca="false">IF(C5&gt;0,I5/C5,"")</f>
        <v>0.19066846119336</v>
      </c>
      <c r="AB5" s="16" t="n">
        <f aca="false">IF(C5&gt;0,N5/C5,"")</f>
        <v>0.169134140870345</v>
      </c>
      <c r="AC5" s="16" t="n">
        <f aca="false">IF(N5&gt;0,R5/N5,"")</f>
        <v>0.0583554376657825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0" min="3" style="0" width="13"/>
  </cols>
  <sheetData>
    <row r="1" customFormat="false" ht="31.5" hidden="false" customHeight="true" outlineLevel="0" collapsed="false">
      <c r="A1" s="10" t="s">
        <v>56</v>
      </c>
      <c r="B1" s="10" t="s">
        <v>62</v>
      </c>
      <c r="C1" s="10" t="s">
        <v>4</v>
      </c>
      <c r="D1" s="10" t="s">
        <v>5</v>
      </c>
      <c r="E1" s="10" t="s">
        <v>28</v>
      </c>
      <c r="F1" s="10" t="s">
        <v>29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10</v>
      </c>
      <c r="P1" s="10" t="s">
        <v>34</v>
      </c>
      <c r="Q1" s="10" t="s">
        <v>35</v>
      </c>
      <c r="R1" s="10" t="s">
        <v>36</v>
      </c>
      <c r="S1" s="10" t="s">
        <v>37</v>
      </c>
      <c r="T1" s="10" t="s">
        <v>11</v>
      </c>
      <c r="U1" s="10" t="s">
        <v>21</v>
      </c>
      <c r="V1" s="10" t="s">
        <v>12</v>
      </c>
      <c r="W1" s="10" t="s">
        <v>13</v>
      </c>
      <c r="X1" s="10" t="s">
        <v>14</v>
      </c>
      <c r="Y1" s="10" t="s">
        <v>15</v>
      </c>
      <c r="Z1" s="10" t="s">
        <v>16</v>
      </c>
      <c r="AA1" s="10" t="s">
        <v>17</v>
      </c>
      <c r="AB1" s="10" t="s">
        <v>38</v>
      </c>
      <c r="AC1" s="10" t="s">
        <v>18</v>
      </c>
      <c r="AD1" s="10" t="s">
        <v>19</v>
      </c>
    </row>
    <row r="2" customFormat="false" ht="15" hidden="false" customHeight="false" outlineLevel="0" collapsed="false">
      <c r="A2" s="2" t="s">
        <v>57</v>
      </c>
      <c r="B2" s="2" t="s">
        <v>63</v>
      </c>
      <c r="C2" s="4" t="n">
        <v>48.43</v>
      </c>
      <c r="D2" s="5" t="n">
        <v>480</v>
      </c>
      <c r="E2" s="5" t="n">
        <v>344</v>
      </c>
      <c r="F2" s="5" t="n">
        <v>14</v>
      </c>
      <c r="G2" s="5" t="n">
        <v>6</v>
      </c>
      <c r="H2" s="5" t="n">
        <v>2</v>
      </c>
      <c r="I2" s="5" t="n">
        <v>0</v>
      </c>
      <c r="J2" s="5" t="n">
        <v>171</v>
      </c>
      <c r="K2" s="5" t="n">
        <v>2</v>
      </c>
      <c r="L2" s="5" t="n">
        <v>0</v>
      </c>
      <c r="M2" s="5" t="n">
        <v>1</v>
      </c>
      <c r="N2" s="5" t="n">
        <v>0</v>
      </c>
      <c r="O2" s="5" t="n">
        <v>162</v>
      </c>
      <c r="P2" s="5" t="n">
        <v>125</v>
      </c>
      <c r="Q2" s="5" t="n">
        <v>45</v>
      </c>
      <c r="R2" s="5" t="n">
        <v>24</v>
      </c>
      <c r="S2" s="5" t="n">
        <v>12</v>
      </c>
      <c r="T2" s="5" t="n">
        <v>14</v>
      </c>
      <c r="U2" s="8" t="n">
        <f aca="false">IF(E2&gt;0,D2/E2,"")</f>
        <v>1.3953488372093</v>
      </c>
      <c r="V2" s="6" t="n">
        <f aca="false">IF(D2&gt;0,G2/D2,"")</f>
        <v>0.0125</v>
      </c>
      <c r="W2" s="4" t="n">
        <f aca="false">IF(D2&gt;0,C2/D2*1000,"")</f>
        <v>100.895833333333</v>
      </c>
      <c r="X2" s="4" t="n">
        <f aca="false">IF(G2&gt;0,C2/G2,"")</f>
        <v>8.07166666666667</v>
      </c>
      <c r="Y2" s="4" t="str">
        <f aca="false">IF(I2&gt;0,C2/I2,"")</f>
        <v/>
      </c>
      <c r="Z2" s="7" t="n">
        <f aca="false">IF(G2&gt;0,H2/G2,"")</f>
        <v>0.333333333333333</v>
      </c>
      <c r="AA2" s="7" t="n">
        <f aca="false">IF(H2&gt;0,I2/H2,"")</f>
        <v>0</v>
      </c>
      <c r="AB2" s="6" t="n">
        <f aca="false">IF(D2&gt;0,J2/D2,"")</f>
        <v>0.35625</v>
      </c>
      <c r="AC2" s="7" t="n">
        <f aca="false">IF(D2&gt;0,O2/D2,"")</f>
        <v>0.3375</v>
      </c>
      <c r="AD2" s="7" t="n">
        <f aca="false">IF(O2&gt;0,S2/O2,"")</f>
        <v>0.0740740740740741</v>
      </c>
    </row>
    <row r="3" customFormat="false" ht="15" hidden="false" customHeight="false" outlineLevel="0" collapsed="false">
      <c r="A3" s="2" t="s">
        <v>58</v>
      </c>
      <c r="B3" s="2" t="s">
        <v>63</v>
      </c>
      <c r="C3" s="4" t="n">
        <v>42.23</v>
      </c>
      <c r="D3" s="5" t="n">
        <v>650</v>
      </c>
      <c r="E3" s="5" t="n">
        <v>470</v>
      </c>
      <c r="F3" s="5" t="n">
        <v>16</v>
      </c>
      <c r="G3" s="5" t="n">
        <v>11</v>
      </c>
      <c r="H3" s="5" t="n">
        <v>5</v>
      </c>
      <c r="I3" s="5" t="n">
        <v>0</v>
      </c>
      <c r="J3" s="5" t="n">
        <v>202</v>
      </c>
      <c r="K3" s="5" t="n">
        <v>4</v>
      </c>
      <c r="L3" s="5" t="n">
        <v>0</v>
      </c>
      <c r="M3" s="5" t="n">
        <v>0</v>
      </c>
      <c r="N3" s="5" t="n">
        <v>1</v>
      </c>
      <c r="O3" s="5" t="n">
        <v>186</v>
      </c>
      <c r="P3" s="5" t="n">
        <v>144</v>
      </c>
      <c r="Q3" s="5" t="n">
        <v>42</v>
      </c>
      <c r="R3" s="5" t="n">
        <v>18</v>
      </c>
      <c r="S3" s="5" t="n">
        <v>6</v>
      </c>
      <c r="T3" s="5" t="n">
        <v>6</v>
      </c>
      <c r="U3" s="8" t="n">
        <f aca="false">IF(E3&gt;0,D3/E3,"")</f>
        <v>1.38297872340426</v>
      </c>
      <c r="V3" s="6" t="n">
        <f aca="false">IF(D3&gt;0,G3/D3,"")</f>
        <v>0.0169230769230769</v>
      </c>
      <c r="W3" s="4" t="n">
        <f aca="false">IF(D3&gt;0,C3/D3*1000,"")</f>
        <v>64.9692307692308</v>
      </c>
      <c r="X3" s="4" t="n">
        <f aca="false">IF(G3&gt;0,C3/G3,"")</f>
        <v>3.83909090909091</v>
      </c>
      <c r="Y3" s="4" t="str">
        <f aca="false">IF(I3&gt;0,C3/I3,"")</f>
        <v/>
      </c>
      <c r="Z3" s="7" t="n">
        <f aca="false">IF(G3&gt;0,H3/G3,"")</f>
        <v>0.454545454545455</v>
      </c>
      <c r="AA3" s="7" t="n">
        <f aca="false">IF(H3&gt;0,I3/H3,"")</f>
        <v>0</v>
      </c>
      <c r="AB3" s="6" t="n">
        <f aca="false">IF(D3&gt;0,J3/D3,"")</f>
        <v>0.310769230769231</v>
      </c>
      <c r="AC3" s="7" t="n">
        <f aca="false">IF(D3&gt;0,O3/D3,"")</f>
        <v>0.286153846153846</v>
      </c>
      <c r="AD3" s="7" t="n">
        <f aca="false">IF(O3&gt;0,S3/O3,"")</f>
        <v>0.032258064516129</v>
      </c>
    </row>
    <row r="4" customFormat="false" ht="15" hidden="false" customHeight="false" outlineLevel="0" collapsed="false">
      <c r="A4" s="2" t="s">
        <v>59</v>
      </c>
      <c r="B4" s="2" t="s">
        <v>64</v>
      </c>
      <c r="C4" s="4" t="n">
        <v>31.9</v>
      </c>
      <c r="D4" s="5" t="n">
        <v>624</v>
      </c>
      <c r="E4" s="5" t="n">
        <v>418</v>
      </c>
      <c r="F4" s="5" t="n">
        <v>6</v>
      </c>
      <c r="G4" s="5" t="n">
        <v>7</v>
      </c>
      <c r="H4" s="5" t="n">
        <v>4</v>
      </c>
      <c r="I4" s="5" t="n">
        <v>0</v>
      </c>
      <c r="J4" s="5" t="n">
        <v>51</v>
      </c>
      <c r="K4" s="5" t="n">
        <v>1</v>
      </c>
      <c r="L4" s="5" t="n">
        <v>0</v>
      </c>
      <c r="M4" s="5" t="n">
        <v>1</v>
      </c>
      <c r="N4" s="5" t="n">
        <v>2</v>
      </c>
      <c r="O4" s="5" t="n">
        <v>40</v>
      </c>
      <c r="P4" s="5" t="n">
        <v>34</v>
      </c>
      <c r="Q4" s="5" t="n">
        <v>11</v>
      </c>
      <c r="R4" s="5" t="n">
        <v>3</v>
      </c>
      <c r="S4" s="5" t="n">
        <v>2</v>
      </c>
      <c r="T4" s="5" t="n">
        <v>2</v>
      </c>
      <c r="U4" s="8" t="n">
        <f aca="false">IF(E4&gt;0,D4/E4,"")</f>
        <v>1.49282296650718</v>
      </c>
      <c r="V4" s="6" t="n">
        <f aca="false">IF(D4&gt;0,G4/D4,"")</f>
        <v>0.0112179487179487</v>
      </c>
      <c r="W4" s="4" t="n">
        <f aca="false">IF(D4&gt;0,C4/D4*1000,"")</f>
        <v>51.1217948717949</v>
      </c>
      <c r="X4" s="4" t="n">
        <f aca="false">IF(G4&gt;0,C4/G4,"")</f>
        <v>4.55714285714286</v>
      </c>
      <c r="Y4" s="4" t="str">
        <f aca="false">IF(I4&gt;0,C4/I4,"")</f>
        <v/>
      </c>
      <c r="Z4" s="7" t="n">
        <f aca="false">IF(G4&gt;0,H4/G4,"")</f>
        <v>0.571428571428571</v>
      </c>
      <c r="AA4" s="7" t="n">
        <f aca="false">IF(H4&gt;0,I4/H4,"")</f>
        <v>0</v>
      </c>
      <c r="AB4" s="6" t="n">
        <f aca="false">IF(D4&gt;0,J4/D4,"")</f>
        <v>0.0817307692307692</v>
      </c>
      <c r="AC4" s="7" t="n">
        <f aca="false">IF(D4&gt;0,O4/D4,"")</f>
        <v>0.0641025641025641</v>
      </c>
      <c r="AD4" s="7" t="n">
        <f aca="false">IF(O4&gt;0,S4/O4,"")</f>
        <v>0.05</v>
      </c>
    </row>
    <row r="5" customFormat="false" ht="15" hidden="false" customHeight="false" outlineLevel="0" collapsed="false">
      <c r="A5" s="2" t="s">
        <v>59</v>
      </c>
      <c r="B5" s="2" t="s">
        <v>63</v>
      </c>
      <c r="C5" s="4" t="n">
        <v>30.56</v>
      </c>
      <c r="D5" s="5" t="n">
        <v>541</v>
      </c>
      <c r="E5" s="5" t="n">
        <v>383</v>
      </c>
      <c r="F5" s="5" t="n">
        <v>15</v>
      </c>
      <c r="G5" s="5" t="n">
        <v>15</v>
      </c>
      <c r="H5" s="5" t="n">
        <v>14</v>
      </c>
      <c r="I5" s="5" t="n">
        <v>1</v>
      </c>
      <c r="J5" s="5" t="n">
        <v>89</v>
      </c>
      <c r="K5" s="5" t="n">
        <v>0</v>
      </c>
      <c r="L5" s="5" t="n">
        <v>0</v>
      </c>
      <c r="M5" s="5" t="n">
        <v>0</v>
      </c>
      <c r="N5" s="5" t="n">
        <v>1</v>
      </c>
      <c r="O5" s="5" t="n">
        <v>73</v>
      </c>
      <c r="P5" s="5" t="n">
        <v>55</v>
      </c>
      <c r="Q5" s="5" t="n">
        <v>20</v>
      </c>
      <c r="R5" s="5" t="n">
        <v>10</v>
      </c>
      <c r="S5" s="5" t="n">
        <v>2</v>
      </c>
      <c r="T5" s="5" t="n">
        <v>2</v>
      </c>
      <c r="U5" s="8" t="n">
        <f aca="false">IF(E5&gt;0,D5/E5,"")</f>
        <v>1.41253263707572</v>
      </c>
      <c r="V5" s="6" t="n">
        <f aca="false">IF(D5&gt;0,G5/D5,"")</f>
        <v>0.0277264325323475</v>
      </c>
      <c r="W5" s="4" t="n">
        <f aca="false">IF(D5&gt;0,C5/D5*1000,"")</f>
        <v>56.4879852125693</v>
      </c>
      <c r="X5" s="4" t="n">
        <f aca="false">IF(G5&gt;0,C5/G5,"")</f>
        <v>2.03733333333333</v>
      </c>
      <c r="Y5" s="4" t="n">
        <f aca="false">IF(I5&gt;0,C5/I5,"")</f>
        <v>30.56</v>
      </c>
      <c r="Z5" s="7" t="n">
        <f aca="false">IF(G5&gt;0,H5/G5,"")</f>
        <v>0.933333333333333</v>
      </c>
      <c r="AA5" s="7" t="n">
        <f aca="false">IF(H5&gt;0,I5/H5,"")</f>
        <v>0.0714285714285714</v>
      </c>
      <c r="AB5" s="6" t="n">
        <f aca="false">IF(D5&gt;0,J5/D5,"")</f>
        <v>0.164510166358595</v>
      </c>
      <c r="AC5" s="7" t="n">
        <f aca="false">IF(D5&gt;0,O5/D5,"")</f>
        <v>0.134935304990758</v>
      </c>
      <c r="AD5" s="7" t="n">
        <f aca="false">IF(O5&gt;0,S5/O5,"")</f>
        <v>0.0273972602739726</v>
      </c>
    </row>
    <row r="6" customFormat="false" ht="15" hidden="false" customHeight="false" outlineLevel="0" collapsed="false">
      <c r="A6" s="2" t="s">
        <v>60</v>
      </c>
      <c r="B6" s="2" t="s">
        <v>63</v>
      </c>
      <c r="C6" s="4" t="n">
        <v>28.46</v>
      </c>
      <c r="D6" s="5" t="n">
        <v>330</v>
      </c>
      <c r="E6" s="5" t="n">
        <v>229</v>
      </c>
      <c r="F6" s="5" t="n">
        <v>8</v>
      </c>
      <c r="G6" s="5" t="n">
        <v>6</v>
      </c>
      <c r="H6" s="5" t="n">
        <v>5</v>
      </c>
      <c r="I6" s="5" t="n">
        <v>0</v>
      </c>
      <c r="J6" s="5" t="n">
        <v>74</v>
      </c>
      <c r="K6" s="5" t="n">
        <v>2</v>
      </c>
      <c r="L6" s="5" t="n">
        <v>0</v>
      </c>
      <c r="M6" s="5" t="n">
        <v>0</v>
      </c>
      <c r="N6" s="5" t="n">
        <v>0</v>
      </c>
      <c r="O6" s="5" t="n">
        <v>66</v>
      </c>
      <c r="P6" s="5" t="n">
        <v>55</v>
      </c>
      <c r="Q6" s="5" t="n">
        <v>22</v>
      </c>
      <c r="R6" s="5" t="n">
        <v>14</v>
      </c>
      <c r="S6" s="5" t="n">
        <v>8</v>
      </c>
      <c r="T6" s="5" t="n">
        <v>8</v>
      </c>
      <c r="U6" s="8" t="n">
        <f aca="false">IF(E6&gt;0,D6/E6,"")</f>
        <v>1.4410480349345</v>
      </c>
      <c r="V6" s="6" t="n">
        <f aca="false">IF(D6&gt;0,G6/D6,"")</f>
        <v>0.0181818181818182</v>
      </c>
      <c r="W6" s="4" t="n">
        <f aca="false">IF(D6&gt;0,C6/D6*1000,"")</f>
        <v>86.2424242424243</v>
      </c>
      <c r="X6" s="4" t="n">
        <f aca="false">IF(G6&gt;0,C6/G6,"")</f>
        <v>4.74333333333333</v>
      </c>
      <c r="Y6" s="4" t="str">
        <f aca="false">IF(I6&gt;0,C6/I6,"")</f>
        <v/>
      </c>
      <c r="Z6" s="7" t="n">
        <f aca="false">IF(G6&gt;0,H6/G6,"")</f>
        <v>0.833333333333333</v>
      </c>
      <c r="AA6" s="7" t="n">
        <f aca="false">IF(H6&gt;0,I6/H6,"")</f>
        <v>0</v>
      </c>
      <c r="AB6" s="6" t="n">
        <f aca="false">IF(D6&gt;0,J6/D6,"")</f>
        <v>0.224242424242424</v>
      </c>
      <c r="AC6" s="7" t="n">
        <f aca="false">IF(D6&gt;0,O6/D6,"")</f>
        <v>0.2</v>
      </c>
      <c r="AD6" s="7" t="n">
        <f aca="false">IF(O6&gt;0,S6/O6,"")</f>
        <v>0.121212121212121</v>
      </c>
    </row>
    <row r="7" customFormat="false" ht="15" hidden="false" customHeight="false" outlineLevel="0" collapsed="false">
      <c r="A7" s="2" t="s">
        <v>60</v>
      </c>
      <c r="B7" s="2" t="s">
        <v>64</v>
      </c>
      <c r="C7" s="4" t="n">
        <v>27.21</v>
      </c>
      <c r="D7" s="5" t="n">
        <v>416</v>
      </c>
      <c r="E7" s="5" t="n">
        <v>296</v>
      </c>
      <c r="F7" s="5" t="n">
        <v>7</v>
      </c>
      <c r="G7" s="5" t="n">
        <v>5</v>
      </c>
      <c r="H7" s="5" t="n">
        <v>3</v>
      </c>
      <c r="I7" s="5" t="n">
        <v>0</v>
      </c>
      <c r="J7" s="5" t="n">
        <v>46</v>
      </c>
      <c r="K7" s="5" t="n">
        <v>2</v>
      </c>
      <c r="L7" s="5" t="n">
        <v>0</v>
      </c>
      <c r="M7" s="5" t="n">
        <v>0</v>
      </c>
      <c r="N7" s="5" t="n">
        <v>0</v>
      </c>
      <c r="O7" s="5" t="n">
        <v>39</v>
      </c>
      <c r="P7" s="5" t="n">
        <v>29</v>
      </c>
      <c r="Q7" s="5" t="n">
        <v>8</v>
      </c>
      <c r="R7" s="5" t="n">
        <v>5</v>
      </c>
      <c r="S7" s="5" t="n">
        <v>3</v>
      </c>
      <c r="T7" s="5" t="n">
        <v>3</v>
      </c>
      <c r="U7" s="8" t="n">
        <f aca="false">IF(E7&gt;0,D7/E7,"")</f>
        <v>1.40540540540541</v>
      </c>
      <c r="V7" s="6" t="n">
        <f aca="false">IF(D7&gt;0,G7/D7,"")</f>
        <v>0.0120192307692308</v>
      </c>
      <c r="W7" s="4" t="n">
        <f aca="false">IF(D7&gt;0,C7/D7*1000,"")</f>
        <v>65.4086538461539</v>
      </c>
      <c r="X7" s="4" t="n">
        <f aca="false">IF(G7&gt;0,C7/G7,"")</f>
        <v>5.442</v>
      </c>
      <c r="Y7" s="4" t="str">
        <f aca="false">IF(I7&gt;0,C7/I7,"")</f>
        <v/>
      </c>
      <c r="Z7" s="7" t="n">
        <f aca="false">IF(G7&gt;0,H7/G7,"")</f>
        <v>0.6</v>
      </c>
      <c r="AA7" s="7" t="n">
        <f aca="false">IF(H7&gt;0,I7/H7,"")</f>
        <v>0</v>
      </c>
      <c r="AB7" s="6" t="n">
        <f aca="false">IF(D7&gt;0,J7/D7,"")</f>
        <v>0.110576923076923</v>
      </c>
      <c r="AC7" s="7" t="n">
        <f aca="false">IF(D7&gt;0,O7/D7,"")</f>
        <v>0.09375</v>
      </c>
      <c r="AD7" s="7" t="n">
        <f aca="false">IF(O7&gt;0,S7/O7,"")</f>
        <v>0.0769230769230769</v>
      </c>
    </row>
    <row r="8" customFormat="false" ht="15" hidden="false" customHeight="false" outlineLevel="0" collapsed="false">
      <c r="A8" s="2" t="s">
        <v>58</v>
      </c>
      <c r="B8" s="2" t="s">
        <v>64</v>
      </c>
      <c r="C8" s="4" t="n">
        <v>25.64</v>
      </c>
      <c r="D8" s="5" t="n">
        <v>398</v>
      </c>
      <c r="E8" s="5" t="n">
        <v>300</v>
      </c>
      <c r="F8" s="5" t="n">
        <v>6</v>
      </c>
      <c r="G8" s="5" t="n">
        <v>2</v>
      </c>
      <c r="H8" s="5" t="n">
        <v>2</v>
      </c>
      <c r="I8" s="5" t="n">
        <v>0</v>
      </c>
      <c r="J8" s="5" t="n">
        <v>54</v>
      </c>
      <c r="K8" s="5" t="n">
        <v>1</v>
      </c>
      <c r="L8" s="5" t="n">
        <v>0</v>
      </c>
      <c r="M8" s="5" t="n">
        <v>0</v>
      </c>
      <c r="N8" s="5" t="n">
        <v>0</v>
      </c>
      <c r="O8" s="5" t="n">
        <v>51</v>
      </c>
      <c r="P8" s="5" t="n">
        <v>40</v>
      </c>
      <c r="Q8" s="5" t="n">
        <v>11</v>
      </c>
      <c r="R8" s="5" t="n">
        <v>7</v>
      </c>
      <c r="S8" s="5" t="n">
        <v>3</v>
      </c>
      <c r="T8" s="5" t="n">
        <v>4</v>
      </c>
      <c r="U8" s="8" t="n">
        <f aca="false">IF(E8&gt;0,D8/E8,"")</f>
        <v>1.32666666666667</v>
      </c>
      <c r="V8" s="6" t="n">
        <f aca="false">IF(D8&gt;0,G8/D8,"")</f>
        <v>0.0050251256281407</v>
      </c>
      <c r="W8" s="4" t="n">
        <f aca="false">IF(D8&gt;0,C8/D8*1000,"")</f>
        <v>64.4221105527638</v>
      </c>
      <c r="X8" s="4" t="n">
        <f aca="false">IF(G8&gt;0,C8/G8,"")</f>
        <v>12.82</v>
      </c>
      <c r="Y8" s="4" t="str">
        <f aca="false">IF(I8&gt;0,C8/I8,"")</f>
        <v/>
      </c>
      <c r="Z8" s="7" t="n">
        <f aca="false">IF(G8&gt;0,H8/G8,"")</f>
        <v>1</v>
      </c>
      <c r="AA8" s="7" t="n">
        <f aca="false">IF(H8&gt;0,I8/H8,"")</f>
        <v>0</v>
      </c>
      <c r="AB8" s="6" t="n">
        <f aca="false">IF(D8&gt;0,J8/D8,"")</f>
        <v>0.135678391959799</v>
      </c>
      <c r="AC8" s="7" t="n">
        <f aca="false">IF(D8&gt;0,O8/D8,"")</f>
        <v>0.128140703517588</v>
      </c>
      <c r="AD8" s="7" t="n">
        <f aca="false">IF(O8&gt;0,S8/O8,"")</f>
        <v>0.0588235294117647</v>
      </c>
    </row>
    <row r="9" customFormat="false" ht="15" hidden="false" customHeight="false" outlineLevel="0" collapsed="false">
      <c r="A9" s="2" t="s">
        <v>57</v>
      </c>
      <c r="B9" s="2" t="s">
        <v>64</v>
      </c>
      <c r="C9" s="4" t="n">
        <v>22.42</v>
      </c>
      <c r="D9" s="5" t="n">
        <v>319</v>
      </c>
      <c r="E9" s="5" t="n">
        <v>232</v>
      </c>
      <c r="F9" s="5" t="n">
        <v>6</v>
      </c>
      <c r="G9" s="5" t="n">
        <v>4</v>
      </c>
      <c r="H9" s="5" t="n">
        <v>4</v>
      </c>
      <c r="I9" s="5" t="n">
        <v>0</v>
      </c>
      <c r="J9" s="5" t="n">
        <v>42</v>
      </c>
      <c r="K9" s="5" t="n">
        <v>1</v>
      </c>
      <c r="L9" s="5" t="n">
        <v>0</v>
      </c>
      <c r="M9" s="5" t="n">
        <v>0</v>
      </c>
      <c r="N9" s="5" t="n">
        <v>1</v>
      </c>
      <c r="O9" s="5" t="n">
        <v>36</v>
      </c>
      <c r="P9" s="5" t="n">
        <v>29</v>
      </c>
      <c r="Q9" s="5" t="n">
        <v>12</v>
      </c>
      <c r="R9" s="5" t="n">
        <v>5</v>
      </c>
      <c r="S9" s="5" t="n">
        <v>4</v>
      </c>
      <c r="T9" s="5" t="n">
        <v>4</v>
      </c>
      <c r="U9" s="8" t="n">
        <f aca="false">IF(E9&gt;0,D9/E9,"")</f>
        <v>1.375</v>
      </c>
      <c r="V9" s="6" t="n">
        <f aca="false">IF(D9&gt;0,G9/D9,"")</f>
        <v>0.0125391849529781</v>
      </c>
      <c r="W9" s="4" t="n">
        <f aca="false">IF(D9&gt;0,C9/D9*1000,"")</f>
        <v>70.282131661442</v>
      </c>
      <c r="X9" s="4" t="n">
        <f aca="false">IF(G9&gt;0,C9/G9,"")</f>
        <v>5.605</v>
      </c>
      <c r="Y9" s="4" t="str">
        <f aca="false">IF(I9&gt;0,C9/I9,"")</f>
        <v/>
      </c>
      <c r="Z9" s="7" t="n">
        <f aca="false">IF(G9&gt;0,H9/G9,"")</f>
        <v>1</v>
      </c>
      <c r="AA9" s="7" t="n">
        <f aca="false">IF(H9&gt;0,I9/H9,"")</f>
        <v>0</v>
      </c>
      <c r="AB9" s="6" t="n">
        <f aca="false">IF(D9&gt;0,J9/D9,"")</f>
        <v>0.13166144200627</v>
      </c>
      <c r="AC9" s="7" t="n">
        <f aca="false">IF(D9&gt;0,O9/D9,"")</f>
        <v>0.112852664576803</v>
      </c>
      <c r="AD9" s="7" t="n">
        <f aca="false">IF(O9&gt;0,S9/O9,"")</f>
        <v>0.111111111111111</v>
      </c>
    </row>
    <row r="10" customFormat="false" ht="15" hidden="false" customHeight="false" outlineLevel="0" collapsed="false">
      <c r="A10" s="2" t="s">
        <v>61</v>
      </c>
      <c r="B10" s="2" t="s">
        <v>63</v>
      </c>
      <c r="C10" s="4" t="n">
        <v>19.25</v>
      </c>
      <c r="D10" s="5" t="n">
        <v>385</v>
      </c>
      <c r="E10" s="5" t="n">
        <v>230</v>
      </c>
      <c r="F10" s="5" t="n">
        <v>7</v>
      </c>
      <c r="G10" s="5" t="n">
        <v>3</v>
      </c>
      <c r="H10" s="5" t="n">
        <v>3</v>
      </c>
      <c r="I10" s="5" t="n">
        <v>0</v>
      </c>
      <c r="J10" s="5" t="n">
        <v>82</v>
      </c>
      <c r="K10" s="5" t="n">
        <v>3</v>
      </c>
      <c r="L10" s="5" t="n">
        <v>0</v>
      </c>
      <c r="M10" s="5" t="n">
        <v>1</v>
      </c>
      <c r="N10" s="5" t="n">
        <v>0</v>
      </c>
      <c r="O10" s="5" t="n">
        <v>75</v>
      </c>
      <c r="P10" s="5" t="n">
        <v>61</v>
      </c>
      <c r="Q10" s="5" t="n">
        <v>15</v>
      </c>
      <c r="R10" s="5" t="n">
        <v>5</v>
      </c>
      <c r="S10" s="5" t="n">
        <v>2</v>
      </c>
      <c r="T10" s="5" t="n">
        <v>2</v>
      </c>
      <c r="U10" s="8" t="n">
        <f aca="false">IF(E10&gt;0,D10/E10,"")</f>
        <v>1.67391304347826</v>
      </c>
      <c r="V10" s="6" t="n">
        <f aca="false">IF(D10&gt;0,G10/D10,"")</f>
        <v>0.00779220779220779</v>
      </c>
      <c r="W10" s="4" t="n">
        <f aca="false">IF(D10&gt;0,C10/D10*1000,"")</f>
        <v>50</v>
      </c>
      <c r="X10" s="4" t="n">
        <f aca="false">IF(G10&gt;0,C10/G10,"")</f>
        <v>6.41666666666667</v>
      </c>
      <c r="Y10" s="4" t="str">
        <f aca="false">IF(I10&gt;0,C10/I10,"")</f>
        <v/>
      </c>
      <c r="Z10" s="7" t="n">
        <f aca="false">IF(G10&gt;0,H10/G10,"")</f>
        <v>1</v>
      </c>
      <c r="AA10" s="7" t="n">
        <f aca="false">IF(H10&gt;0,I10/H10,"")</f>
        <v>0</v>
      </c>
      <c r="AB10" s="6" t="n">
        <f aca="false">IF(D10&gt;0,J10/D10,"")</f>
        <v>0.212987012987013</v>
      </c>
      <c r="AC10" s="7" t="n">
        <f aca="false">IF(D10&gt;0,O10/D10,"")</f>
        <v>0.194805194805195</v>
      </c>
      <c r="AD10" s="7" t="n">
        <f aca="false">IF(O10&gt;0,S10/O10,"")</f>
        <v>0.0266666666666667</v>
      </c>
    </row>
    <row r="11" customFormat="false" ht="15" hidden="false" customHeight="false" outlineLevel="0" collapsed="false">
      <c r="A11" s="2" t="s">
        <v>61</v>
      </c>
      <c r="B11" s="2" t="s">
        <v>64</v>
      </c>
      <c r="C11" s="4" t="n">
        <v>10.64</v>
      </c>
      <c r="D11" s="5" t="n">
        <v>282</v>
      </c>
      <c r="E11" s="5" t="n">
        <v>204</v>
      </c>
      <c r="F11" s="5" t="n">
        <v>9</v>
      </c>
      <c r="G11" s="5" t="n">
        <v>8</v>
      </c>
      <c r="H11" s="5" t="n">
        <v>8</v>
      </c>
      <c r="I11" s="5" t="n">
        <v>0</v>
      </c>
      <c r="J11" s="5" t="n">
        <v>34</v>
      </c>
      <c r="K11" s="5" t="n">
        <v>4</v>
      </c>
      <c r="L11" s="5" t="n">
        <v>0</v>
      </c>
      <c r="M11" s="5" t="n">
        <v>0</v>
      </c>
      <c r="N11" s="5" t="n">
        <v>0</v>
      </c>
      <c r="O11" s="5" t="n">
        <v>22</v>
      </c>
      <c r="P11" s="5" t="n">
        <v>17</v>
      </c>
      <c r="Q11" s="5" t="n">
        <v>6</v>
      </c>
      <c r="R11" s="5" t="n">
        <v>1</v>
      </c>
      <c r="S11" s="5" t="n">
        <v>1</v>
      </c>
      <c r="T11" s="5" t="n">
        <v>1</v>
      </c>
      <c r="U11" s="8" t="n">
        <f aca="false">IF(E11&gt;0,D11/E11,"")</f>
        <v>1.38235294117647</v>
      </c>
      <c r="V11" s="6" t="n">
        <f aca="false">IF(D11&gt;0,G11/D11,"")</f>
        <v>0.0283687943262411</v>
      </c>
      <c r="W11" s="4" t="n">
        <f aca="false">IF(D11&gt;0,C11/D11*1000,"")</f>
        <v>37.7304964539007</v>
      </c>
      <c r="X11" s="4" t="n">
        <f aca="false">IF(G11&gt;0,C11/G11,"")</f>
        <v>1.33</v>
      </c>
      <c r="Y11" s="4" t="str">
        <f aca="false">IF(I11&gt;0,C11/I11,"")</f>
        <v/>
      </c>
      <c r="Z11" s="7" t="n">
        <f aca="false">IF(G11&gt;0,H11/G11,"")</f>
        <v>1</v>
      </c>
      <c r="AA11" s="7" t="n">
        <f aca="false">IF(H11&gt;0,I11/H11,"")</f>
        <v>0</v>
      </c>
      <c r="AB11" s="6" t="n">
        <f aca="false">IF(D11&gt;0,J11/D11,"")</f>
        <v>0.120567375886525</v>
      </c>
      <c r="AC11" s="7" t="n">
        <f aca="false">IF(D11&gt;0,O11/D11,"")</f>
        <v>0.0780141843971631</v>
      </c>
      <c r="AD11" s="7" t="n">
        <f aca="false">IF(O11&gt;0,S11/O11,"")</f>
        <v>0.0454545454545455</v>
      </c>
    </row>
    <row r="12" customFormat="false" ht="15" hidden="false" customHeight="false" outlineLevel="0" collapsed="false">
      <c r="A12" s="2" t="s">
        <v>59</v>
      </c>
      <c r="B12" s="2" t="s">
        <v>65</v>
      </c>
      <c r="C12" s="4" t="n">
        <v>0.81</v>
      </c>
      <c r="D12" s="5" t="n">
        <v>13</v>
      </c>
      <c r="E12" s="5" t="n">
        <v>11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8" t="n">
        <f aca="false">IF(E12&gt;0,D12/E12,"")</f>
        <v>1.18181818181818</v>
      </c>
      <c r="V12" s="6" t="n">
        <f aca="false">IF(D12&gt;0,G12/D12,"")</f>
        <v>0</v>
      </c>
      <c r="W12" s="4" t="n">
        <f aca="false">IF(D12&gt;0,C12/D12*1000,"")</f>
        <v>62.3076923076923</v>
      </c>
      <c r="X12" s="4" t="str">
        <f aca="false">IF(G12&gt;0,C12/G12,"")</f>
        <v/>
      </c>
      <c r="Y12" s="4" t="str">
        <f aca="false">IF(I12&gt;0,C12/I12,"")</f>
        <v/>
      </c>
      <c r="Z12" s="7" t="str">
        <f aca="false">IF(G12&gt;0,H12/G12,"")</f>
        <v/>
      </c>
      <c r="AA12" s="7" t="str">
        <f aca="false">IF(H12&gt;0,I12/H12,"")</f>
        <v/>
      </c>
      <c r="AB12" s="6" t="n">
        <f aca="false">IF(D12&gt;0,J12/D12,"")</f>
        <v>0</v>
      </c>
      <c r="AC12" s="7" t="n">
        <f aca="false">IF(D12&gt;0,O12/D12,"")</f>
        <v>0</v>
      </c>
      <c r="AD12" s="7" t="str">
        <f aca="false">IF(O12&gt;0,S12/O12,"")</f>
        <v/>
      </c>
    </row>
    <row r="13" customFormat="false" ht="15" hidden="false" customHeight="false" outlineLevel="0" collapsed="false">
      <c r="A13" s="2" t="s">
        <v>58</v>
      </c>
      <c r="B13" s="2" t="s">
        <v>65</v>
      </c>
      <c r="C13" s="4" t="n">
        <v>0.53</v>
      </c>
      <c r="D13" s="5" t="n">
        <v>7</v>
      </c>
      <c r="E13" s="5" t="n">
        <v>7</v>
      </c>
      <c r="F13" s="5" t="n">
        <v>1</v>
      </c>
      <c r="G13" s="5" t="n">
        <v>1</v>
      </c>
      <c r="H13" s="5" t="n">
        <v>1</v>
      </c>
      <c r="I13" s="5" t="n">
        <v>0</v>
      </c>
      <c r="J13" s="5" t="n">
        <v>3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2</v>
      </c>
      <c r="P13" s="5" t="n">
        <v>2</v>
      </c>
      <c r="Q13" s="5" t="n">
        <v>2</v>
      </c>
      <c r="R13" s="5" t="n">
        <v>1</v>
      </c>
      <c r="S13" s="5" t="n">
        <v>1</v>
      </c>
      <c r="T13" s="5" t="n">
        <v>1</v>
      </c>
      <c r="U13" s="8" t="n">
        <f aca="false">IF(E13&gt;0,D13/E13,"")</f>
        <v>1</v>
      </c>
      <c r="V13" s="6" t="n">
        <f aca="false">IF(D13&gt;0,G13/D13,"")</f>
        <v>0.142857142857143</v>
      </c>
      <c r="W13" s="4" t="n">
        <f aca="false">IF(D13&gt;0,C13/D13*1000,"")</f>
        <v>75.7142857142857</v>
      </c>
      <c r="X13" s="4" t="n">
        <f aca="false">IF(G13&gt;0,C13/G13,"")</f>
        <v>0.53</v>
      </c>
      <c r="Y13" s="4" t="str">
        <f aca="false">IF(I13&gt;0,C13/I13,"")</f>
        <v/>
      </c>
      <c r="Z13" s="7" t="n">
        <f aca="false">IF(G13&gt;0,H13/G13,"")</f>
        <v>1</v>
      </c>
      <c r="AA13" s="7" t="n">
        <f aca="false">IF(H13&gt;0,I13/H13,"")</f>
        <v>0</v>
      </c>
      <c r="AB13" s="6" t="n">
        <f aca="false">IF(D13&gt;0,J13/D13,"")</f>
        <v>0.428571428571429</v>
      </c>
      <c r="AC13" s="7" t="n">
        <f aca="false">IF(D13&gt;0,O13/D13,"")</f>
        <v>0.285714285714286</v>
      </c>
      <c r="AD13" s="7" t="n">
        <f aca="false">IF(O13&gt;0,S13/O13,"")</f>
        <v>0.5</v>
      </c>
    </row>
    <row r="14" customFormat="false" ht="15" hidden="false" customHeight="false" outlineLevel="0" collapsed="false">
      <c r="A14" s="2" t="s">
        <v>60</v>
      </c>
      <c r="B14" s="2" t="s">
        <v>65</v>
      </c>
      <c r="C14" s="4" t="n">
        <v>0.09</v>
      </c>
      <c r="D14" s="5" t="n">
        <v>7</v>
      </c>
      <c r="E14" s="5" t="n">
        <v>4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1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1</v>
      </c>
      <c r="P14" s="5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8" t="n">
        <f aca="false">IF(E14&gt;0,D14/E14,"")</f>
        <v>1.75</v>
      </c>
      <c r="V14" s="6" t="n">
        <f aca="false">IF(D14&gt;0,G14/D14,"")</f>
        <v>0</v>
      </c>
      <c r="W14" s="4" t="n">
        <f aca="false">IF(D14&gt;0,C14/D14*1000,"")</f>
        <v>12.8571428571429</v>
      </c>
      <c r="X14" s="4" t="str">
        <f aca="false">IF(G14&gt;0,C14/G14,"")</f>
        <v/>
      </c>
      <c r="Y14" s="4" t="str">
        <f aca="false">IF(I14&gt;0,C14/I14,"")</f>
        <v/>
      </c>
      <c r="Z14" s="7" t="str">
        <f aca="false">IF(G14&gt;0,H14/G14,"")</f>
        <v/>
      </c>
      <c r="AA14" s="7" t="str">
        <f aca="false">IF(H14&gt;0,I14/H14,"")</f>
        <v/>
      </c>
      <c r="AB14" s="6" t="n">
        <f aca="false">IF(D14&gt;0,J14/D14,"")</f>
        <v>0.142857142857143</v>
      </c>
      <c r="AC14" s="7" t="n">
        <f aca="false">IF(D14&gt;0,O14/D14,"")</f>
        <v>0.142857142857143</v>
      </c>
      <c r="AD14" s="7" t="n">
        <f aca="false">IF(O14&gt;0,S14/O14,"")</f>
        <v>0</v>
      </c>
    </row>
    <row r="15" customFormat="false" ht="15" hidden="false" customHeight="false" outlineLevel="0" collapsed="false">
      <c r="A15" s="2" t="s">
        <v>57</v>
      </c>
      <c r="B15" s="2" t="s">
        <v>65</v>
      </c>
      <c r="C15" s="4" t="n">
        <v>0.07</v>
      </c>
      <c r="D15" s="5" t="n">
        <v>3</v>
      </c>
      <c r="E15" s="5" t="n">
        <v>3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1</v>
      </c>
      <c r="P15" s="5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8" t="n">
        <f aca="false">IF(E15&gt;0,D15/E15,"")</f>
        <v>1</v>
      </c>
      <c r="V15" s="6" t="n">
        <f aca="false">IF(D15&gt;0,G15/D15,"")</f>
        <v>0</v>
      </c>
      <c r="W15" s="4" t="n">
        <f aca="false">IF(D15&gt;0,C15/D15*1000,"")</f>
        <v>23.3333333333333</v>
      </c>
      <c r="X15" s="4" t="str">
        <f aca="false">IF(G15&gt;0,C15/G15,"")</f>
        <v/>
      </c>
      <c r="Y15" s="4" t="str">
        <f aca="false">IF(I15&gt;0,C15/I15,"")</f>
        <v/>
      </c>
      <c r="Z15" s="7" t="str">
        <f aca="false">IF(G15&gt;0,H15/G15,"")</f>
        <v/>
      </c>
      <c r="AA15" s="7" t="str">
        <f aca="false">IF(H15&gt;0,I15/H15,"")</f>
        <v/>
      </c>
      <c r="AB15" s="6" t="n">
        <f aca="false">IF(D15&gt;0,J15/D15,"")</f>
        <v>0.333333333333333</v>
      </c>
      <c r="AC15" s="7" t="n">
        <f aca="false">IF(D15&gt;0,O15/D15,"")</f>
        <v>0.333333333333333</v>
      </c>
      <c r="AD15" s="7" t="n">
        <f aca="false">IF(O15&gt;0,S15/O15,"")</f>
        <v>0</v>
      </c>
    </row>
    <row r="16" customFormat="false" ht="15" hidden="false" customHeight="false" outlineLevel="0" collapsed="false">
      <c r="A16" s="2" t="s">
        <v>61</v>
      </c>
      <c r="B16" s="2" t="s">
        <v>65</v>
      </c>
      <c r="C16" s="4" t="n">
        <v>0.06</v>
      </c>
      <c r="D16" s="5" t="n">
        <v>3</v>
      </c>
      <c r="E16" s="5" t="n">
        <v>2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8" t="n">
        <f aca="false">IF(E16&gt;0,D16/E16,"")</f>
        <v>1.5</v>
      </c>
      <c r="V16" s="6" t="n">
        <f aca="false">IF(D16&gt;0,G16/D16,"")</f>
        <v>0</v>
      </c>
      <c r="W16" s="4" t="n">
        <f aca="false">IF(D16&gt;0,C16/D16*1000,"")</f>
        <v>20</v>
      </c>
      <c r="X16" s="4" t="str">
        <f aca="false">IF(G16&gt;0,C16/G16,"")</f>
        <v/>
      </c>
      <c r="Y16" s="4" t="str">
        <f aca="false">IF(I16&gt;0,C16/I16,"")</f>
        <v/>
      </c>
      <c r="Z16" s="7" t="str">
        <f aca="false">IF(G16&gt;0,H16/G16,"")</f>
        <v/>
      </c>
      <c r="AA16" s="7" t="str">
        <f aca="false">IF(H16&gt;0,I16/H16,"")</f>
        <v/>
      </c>
      <c r="AB16" s="6" t="n">
        <f aca="false">IF(D16&gt;0,J16/D16,"")</f>
        <v>0</v>
      </c>
      <c r="AC16" s="7" t="n">
        <f aca="false">IF(D16&gt;0,O16/D16,"")</f>
        <v>0</v>
      </c>
      <c r="AD16" s="7" t="str">
        <f aca="false">IF(O16&gt;0,S16/O16,"")</f>
        <v/>
      </c>
    </row>
    <row r="17" customFormat="false" ht="15" hidden="false" customHeight="false" outlineLevel="0" collapsed="false">
      <c r="A17" s="11" t="s">
        <v>46</v>
      </c>
      <c r="B17" s="11"/>
      <c r="C17" s="12" t="n">
        <f aca="false">SUM(C2:C16)</f>
        <v>288.3</v>
      </c>
      <c r="D17" s="13" t="n">
        <f aca="false">SUM(D2:D16)</f>
        <v>4458</v>
      </c>
      <c r="E17" s="13"/>
      <c r="F17" s="13" t="n">
        <f aca="false">SUM(F2:F16)</f>
        <v>95</v>
      </c>
      <c r="G17" s="13" t="n">
        <f aca="false">SUM(G2:G16)</f>
        <v>68</v>
      </c>
      <c r="H17" s="13" t="n">
        <f aca="false">SUM(H2:H16)</f>
        <v>51</v>
      </c>
      <c r="I17" s="13" t="n">
        <f aca="false">SUM(I2:I16)</f>
        <v>1</v>
      </c>
      <c r="J17" s="13" t="n">
        <f aca="false">SUM(J2:J16)</f>
        <v>850</v>
      </c>
      <c r="K17" s="13" t="n">
        <f aca="false">SUM(K2:K16)</f>
        <v>20</v>
      </c>
      <c r="L17" s="13" t="n">
        <f aca="false">SUM(L2:L16)</f>
        <v>0</v>
      </c>
      <c r="M17" s="13" t="n">
        <f aca="false">SUM(M2:M16)</f>
        <v>3</v>
      </c>
      <c r="N17" s="13" t="n">
        <f aca="false">SUM(N2:N16)</f>
        <v>5</v>
      </c>
      <c r="O17" s="13" t="n">
        <f aca="false">SUM(O2:O16)</f>
        <v>754</v>
      </c>
      <c r="P17" s="13" t="n">
        <f aca="false">SUM(P2:P16)</f>
        <v>593</v>
      </c>
      <c r="Q17" s="13" t="n">
        <f aca="false">SUM(Q2:Q16)</f>
        <v>194</v>
      </c>
      <c r="R17" s="13" t="n">
        <f aca="false">SUM(R2:R16)</f>
        <v>93</v>
      </c>
      <c r="S17" s="13" t="n">
        <f aca="false">SUM(S2:S16)</f>
        <v>44</v>
      </c>
      <c r="T17" s="13" t="n">
        <f aca="false">SUM(T2:T16)</f>
        <v>47</v>
      </c>
      <c r="U17" s="14" t="str">
        <f aca="false">IF(E17&gt;0,D17/E17,"")</f>
        <v/>
      </c>
      <c r="V17" s="15" t="n">
        <f aca="false">IF(D17&gt;0,G17/D17,"")</f>
        <v>0.0152534768954688</v>
      </c>
      <c r="W17" s="12" t="n">
        <f aca="false">IF(D17&gt;0,C17/D17*1000,"")</f>
        <v>64.6702557200538</v>
      </c>
      <c r="X17" s="12" t="n">
        <f aca="false">IF(G17&gt;0,C17/G17,"")</f>
        <v>4.23970588235294</v>
      </c>
      <c r="Y17" s="12" t="n">
        <f aca="false">IF(I17&gt;0,C17/I17,"")</f>
        <v>288.3</v>
      </c>
      <c r="Z17" s="16" t="n">
        <f aca="false">IF(G17&gt;0,H17/G17,"")</f>
        <v>0.75</v>
      </c>
      <c r="AA17" s="16" t="n">
        <f aca="false">IF(H17&gt;0,I17/H17,"")</f>
        <v>0.0196078431372549</v>
      </c>
      <c r="AB17" s="15" t="n">
        <f aca="false">IF(D17&gt;0,J17/D17,"")</f>
        <v>0.19066846119336</v>
      </c>
      <c r="AC17" s="16" t="n">
        <f aca="false">IF(D17&gt;0,O17/D17,"")</f>
        <v>0.169134140870345</v>
      </c>
      <c r="AD17" s="16" t="n">
        <f aca="false">IF(O17&gt;0,S17/O17,"")</f>
        <v>0.0583554376657825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66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67</v>
      </c>
      <c r="B2" s="4" t="n">
        <v>106.96</v>
      </c>
      <c r="C2" s="5" t="n">
        <v>2170</v>
      </c>
      <c r="D2" s="5" t="n">
        <v>1454</v>
      </c>
      <c r="E2" s="5" t="n">
        <v>32</v>
      </c>
      <c r="F2" s="5" t="n">
        <v>23</v>
      </c>
      <c r="G2" s="5" t="n">
        <v>0</v>
      </c>
      <c r="H2" s="5" t="n">
        <v>0</v>
      </c>
      <c r="I2" s="5" t="n">
        <v>103</v>
      </c>
      <c r="J2" s="5" t="n">
        <v>7</v>
      </c>
      <c r="K2" s="5" t="n">
        <v>0</v>
      </c>
      <c r="L2" s="5" t="n">
        <v>0</v>
      </c>
      <c r="M2" s="5" t="n">
        <v>4</v>
      </c>
      <c r="N2" s="5" t="n">
        <v>69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8" t="n">
        <f aca="false">IF(D2&gt;0,C2/D2,"")</f>
        <v>1.49243466299862</v>
      </c>
      <c r="U2" s="6" t="n">
        <f aca="false">IF(C2&gt;0,F2/C2,"")</f>
        <v>0.0105990783410138</v>
      </c>
      <c r="V2" s="4" t="n">
        <f aca="false">IF(C2&gt;0,B2/C2*1000,"")</f>
        <v>49.2903225806452</v>
      </c>
      <c r="W2" s="4" t="n">
        <f aca="false">IF(F2&gt;0,B2/F2,"")</f>
        <v>4.6504347826087</v>
      </c>
      <c r="X2" s="4" t="str">
        <f aca="false">IF(H2&gt;0,B2/H2,"")</f>
        <v/>
      </c>
      <c r="Y2" s="7" t="n">
        <f aca="false">IF(F2&gt;0,G2/F2,"")</f>
        <v>0</v>
      </c>
      <c r="Z2" s="7" t="str">
        <f aca="false">IF(G2&gt;0,H2/G2,"")</f>
        <v/>
      </c>
      <c r="AA2" s="6" t="n">
        <f aca="false">IF(C2&gt;0,I2/C2,"")</f>
        <v>0.0474654377880184</v>
      </c>
      <c r="AB2" s="7" t="n">
        <f aca="false">IF(C2&gt;0,N2/C2,"")</f>
        <v>0.0317972350230415</v>
      </c>
      <c r="AC2" s="7" t="n">
        <f aca="false">IF(N2&gt;0,R2/N2,"")</f>
        <v>0</v>
      </c>
    </row>
    <row r="3" customFormat="false" ht="15" hidden="false" customHeight="false" outlineLevel="0" collapsed="false">
      <c r="A3" s="2" t="s">
        <v>68</v>
      </c>
      <c r="B3" s="4" t="n">
        <v>31.2</v>
      </c>
      <c r="C3" s="5" t="n">
        <v>415</v>
      </c>
      <c r="D3" s="5" t="n">
        <v>305</v>
      </c>
      <c r="E3" s="5" t="n">
        <v>9</v>
      </c>
      <c r="F3" s="5" t="n">
        <v>6</v>
      </c>
      <c r="G3" s="5" t="n">
        <v>0</v>
      </c>
      <c r="H3" s="5" t="n">
        <v>0</v>
      </c>
      <c r="I3" s="5" t="n">
        <v>25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19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 t="n">
        <f aca="false">IF(D3&gt;0,C3/D3,"")</f>
        <v>1.36065573770492</v>
      </c>
      <c r="U3" s="6" t="n">
        <f aca="false">IF(C3&gt;0,F3/C3,"")</f>
        <v>0.0144578313253012</v>
      </c>
      <c r="V3" s="4" t="n">
        <f aca="false">IF(C3&gt;0,B3/C3*1000,"")</f>
        <v>75.1807228915663</v>
      </c>
      <c r="W3" s="4" t="n">
        <f aca="false">IF(F3&gt;0,B3/F3,"")</f>
        <v>5.2</v>
      </c>
      <c r="X3" s="4" t="str">
        <f aca="false">IF(H3&gt;0,B3/H3,"")</f>
        <v/>
      </c>
      <c r="Y3" s="7" t="n">
        <f aca="false">IF(F3&gt;0,G3/F3,"")</f>
        <v>0</v>
      </c>
      <c r="Z3" s="7" t="str">
        <f aca="false">IF(G3&gt;0,H3/G3,"")</f>
        <v/>
      </c>
      <c r="AA3" s="6" t="n">
        <f aca="false">IF(C3&gt;0,I3/C3,"")</f>
        <v>0.0602409638554217</v>
      </c>
      <c r="AB3" s="7" t="n">
        <f aca="false">IF(C3&gt;0,N3/C3,"")</f>
        <v>0.0457831325301205</v>
      </c>
      <c r="AC3" s="7" t="n">
        <f aca="false">IF(N3&gt;0,R3/N3,"")</f>
        <v>0</v>
      </c>
    </row>
    <row r="4" customFormat="false" ht="15" hidden="false" customHeight="false" outlineLevel="0" collapsed="false">
      <c r="A4" s="2" t="s">
        <v>69</v>
      </c>
      <c r="B4" s="4" t="n">
        <v>23.33</v>
      </c>
      <c r="C4" s="5" t="n">
        <v>265</v>
      </c>
      <c r="D4" s="5" t="n">
        <v>204</v>
      </c>
      <c r="E4" s="5" t="n">
        <v>6</v>
      </c>
      <c r="F4" s="5" t="n">
        <v>4</v>
      </c>
      <c r="G4" s="5" t="n">
        <v>0</v>
      </c>
      <c r="H4" s="5" t="n">
        <v>0</v>
      </c>
      <c r="I4" s="5" t="n">
        <v>119</v>
      </c>
      <c r="J4" s="5" t="n">
        <v>2</v>
      </c>
      <c r="K4" s="5" t="n">
        <v>0</v>
      </c>
      <c r="L4" s="5" t="n">
        <v>0</v>
      </c>
      <c r="M4" s="5" t="n">
        <v>1</v>
      </c>
      <c r="N4" s="5" t="n">
        <v>112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8" t="n">
        <f aca="false">IF(D4&gt;0,C4/D4,"")</f>
        <v>1.29901960784314</v>
      </c>
      <c r="U4" s="6" t="n">
        <f aca="false">IF(C4&gt;0,F4/C4,"")</f>
        <v>0.0150943396226415</v>
      </c>
      <c r="V4" s="4" t="n">
        <f aca="false">IF(C4&gt;0,B4/C4*1000,"")</f>
        <v>88.0377358490566</v>
      </c>
      <c r="W4" s="4" t="n">
        <f aca="false">IF(F4&gt;0,B4/F4,"")</f>
        <v>5.8325</v>
      </c>
      <c r="X4" s="4" t="str">
        <f aca="false">IF(H4&gt;0,B4/H4,"")</f>
        <v/>
      </c>
      <c r="Y4" s="7" t="n">
        <f aca="false">IF(F4&gt;0,G4/F4,"")</f>
        <v>0</v>
      </c>
      <c r="Z4" s="7" t="str">
        <f aca="false">IF(G4&gt;0,H4/G4,"")</f>
        <v/>
      </c>
      <c r="AA4" s="6" t="n">
        <f aca="false">IF(C4&gt;0,I4/C4,"")</f>
        <v>0.449056603773585</v>
      </c>
      <c r="AB4" s="7" t="n">
        <f aca="false">IF(C4&gt;0,N4/C4,"")</f>
        <v>0.422641509433962</v>
      </c>
      <c r="AC4" s="7" t="n">
        <f aca="false">IF(N4&gt;0,R4/N4,"")</f>
        <v>0</v>
      </c>
    </row>
    <row r="5" customFormat="false" ht="15" hidden="false" customHeight="false" outlineLevel="0" collapsed="false">
      <c r="A5" s="2" t="s">
        <v>70</v>
      </c>
      <c r="B5" s="4" t="n">
        <v>19.38</v>
      </c>
      <c r="C5" s="5" t="n">
        <v>226</v>
      </c>
      <c r="D5" s="5" t="n">
        <v>165</v>
      </c>
      <c r="E5" s="5" t="n">
        <v>5</v>
      </c>
      <c r="F5" s="5" t="n">
        <v>4</v>
      </c>
      <c r="G5" s="5" t="n">
        <v>0</v>
      </c>
      <c r="H5" s="5" t="n">
        <v>0</v>
      </c>
      <c r="I5" s="5" t="n">
        <v>95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90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8" t="n">
        <f aca="false">IF(D5&gt;0,C5/D5,"")</f>
        <v>1.36969696969697</v>
      </c>
      <c r="U5" s="6" t="n">
        <f aca="false">IF(C5&gt;0,F5/C5,"")</f>
        <v>0.0176991150442478</v>
      </c>
      <c r="V5" s="4" t="n">
        <f aca="false">IF(C5&gt;0,B5/C5*1000,"")</f>
        <v>85.7522123893805</v>
      </c>
      <c r="W5" s="4" t="n">
        <f aca="false">IF(F5&gt;0,B5/F5,"")</f>
        <v>4.845</v>
      </c>
      <c r="X5" s="4" t="str">
        <f aca="false">IF(H5&gt;0,B5/H5,"")</f>
        <v/>
      </c>
      <c r="Y5" s="7" t="n">
        <f aca="false">IF(F5&gt;0,G5/F5,"")</f>
        <v>0</v>
      </c>
      <c r="Z5" s="7" t="str">
        <f aca="false">IF(G5&gt;0,H5/G5,"")</f>
        <v/>
      </c>
      <c r="AA5" s="6" t="n">
        <f aca="false">IF(C5&gt;0,I5/C5,"")</f>
        <v>0.420353982300885</v>
      </c>
      <c r="AB5" s="7" t="n">
        <f aca="false">IF(C5&gt;0,N5/C5,"")</f>
        <v>0.398230088495575</v>
      </c>
      <c r="AC5" s="7" t="n">
        <f aca="false">IF(N5&gt;0,R5/N5,"")</f>
        <v>0</v>
      </c>
    </row>
    <row r="6" customFormat="false" ht="15" hidden="false" customHeight="false" outlineLevel="0" collapsed="false">
      <c r="A6" s="2" t="s">
        <v>71</v>
      </c>
      <c r="B6" s="4" t="n">
        <v>17.44</v>
      </c>
      <c r="C6" s="5" t="n">
        <v>334</v>
      </c>
      <c r="D6" s="5" t="n">
        <v>216</v>
      </c>
      <c r="E6" s="5" t="n">
        <v>10</v>
      </c>
      <c r="F6" s="5" t="n">
        <v>8</v>
      </c>
      <c r="G6" s="5" t="n">
        <v>0</v>
      </c>
      <c r="H6" s="5" t="n">
        <v>0</v>
      </c>
      <c r="I6" s="5" t="n">
        <v>33</v>
      </c>
      <c r="J6" s="5" t="n">
        <v>1</v>
      </c>
      <c r="K6" s="5" t="n">
        <v>0</v>
      </c>
      <c r="L6" s="5" t="n">
        <v>0</v>
      </c>
      <c r="M6" s="5" t="n">
        <v>0</v>
      </c>
      <c r="N6" s="5" t="n">
        <v>24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8" t="n">
        <f aca="false">IF(D6&gt;0,C6/D6,"")</f>
        <v>1.5462962962963</v>
      </c>
      <c r="U6" s="6" t="n">
        <f aca="false">IF(C6&gt;0,F6/C6,"")</f>
        <v>0.0239520958083832</v>
      </c>
      <c r="V6" s="4" t="n">
        <f aca="false">IF(C6&gt;0,B6/C6*1000,"")</f>
        <v>52.2155688622755</v>
      </c>
      <c r="W6" s="4" t="n">
        <f aca="false">IF(F6&gt;0,B6/F6,"")</f>
        <v>2.18</v>
      </c>
      <c r="X6" s="4" t="str">
        <f aca="false">IF(H6&gt;0,B6/H6,"")</f>
        <v/>
      </c>
      <c r="Y6" s="7" t="n">
        <f aca="false">IF(F6&gt;0,G6/F6,"")</f>
        <v>0</v>
      </c>
      <c r="Z6" s="7" t="str">
        <f aca="false">IF(G6&gt;0,H6/G6,"")</f>
        <v/>
      </c>
      <c r="AA6" s="6" t="n">
        <f aca="false">IF(C6&gt;0,I6/C6,"")</f>
        <v>0.0988023952095808</v>
      </c>
      <c r="AB6" s="7" t="n">
        <f aca="false">IF(C6&gt;0,N6/C6,"")</f>
        <v>0.0718562874251497</v>
      </c>
      <c r="AC6" s="7" t="n">
        <f aca="false">IF(N6&gt;0,R6/N6,"")</f>
        <v>0</v>
      </c>
    </row>
    <row r="7" customFormat="false" ht="15" hidden="false" customHeight="false" outlineLevel="0" collapsed="false">
      <c r="A7" s="2" t="s">
        <v>72</v>
      </c>
      <c r="B7" s="4" t="n">
        <v>14.97</v>
      </c>
      <c r="C7" s="5" t="n">
        <v>199</v>
      </c>
      <c r="D7" s="5" t="n">
        <v>153</v>
      </c>
      <c r="E7" s="5" t="n">
        <v>7</v>
      </c>
      <c r="F7" s="5" t="n">
        <v>4</v>
      </c>
      <c r="G7" s="5" t="n">
        <v>0</v>
      </c>
      <c r="H7" s="5" t="n">
        <v>0</v>
      </c>
      <c r="I7" s="5" t="n">
        <v>97</v>
      </c>
      <c r="J7" s="5" t="n">
        <v>3</v>
      </c>
      <c r="K7" s="5" t="n">
        <v>0</v>
      </c>
      <c r="L7" s="5" t="n">
        <v>0</v>
      </c>
      <c r="M7" s="5" t="n">
        <v>0</v>
      </c>
      <c r="N7" s="5" t="n">
        <v>90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8" t="n">
        <f aca="false">IF(D7&gt;0,C7/D7,"")</f>
        <v>1.30065359477124</v>
      </c>
      <c r="U7" s="6" t="n">
        <f aca="false">IF(C7&gt;0,F7/C7,"")</f>
        <v>0.0201005025125628</v>
      </c>
      <c r="V7" s="4" t="n">
        <f aca="false">IF(C7&gt;0,B7/C7*1000,"")</f>
        <v>75.2261306532663</v>
      </c>
      <c r="W7" s="4" t="n">
        <f aca="false">IF(F7&gt;0,B7/F7,"")</f>
        <v>3.7425</v>
      </c>
      <c r="X7" s="4" t="str">
        <f aca="false">IF(H7&gt;0,B7/H7,"")</f>
        <v/>
      </c>
      <c r="Y7" s="7" t="n">
        <f aca="false">IF(F7&gt;0,G7/F7,"")</f>
        <v>0</v>
      </c>
      <c r="Z7" s="7" t="str">
        <f aca="false">IF(G7&gt;0,H7/G7,"")</f>
        <v/>
      </c>
      <c r="AA7" s="6" t="n">
        <f aca="false">IF(C7&gt;0,I7/C7,"")</f>
        <v>0.487437185929648</v>
      </c>
      <c r="AB7" s="7" t="n">
        <f aca="false">IF(C7&gt;0,N7/C7,"")</f>
        <v>0.452261306532663</v>
      </c>
      <c r="AC7" s="7" t="n">
        <f aca="false">IF(N7&gt;0,R7/N7,"")</f>
        <v>0</v>
      </c>
    </row>
    <row r="8" customFormat="false" ht="15" hidden="false" customHeight="false" outlineLevel="0" collapsed="false">
      <c r="A8" s="2" t="s">
        <v>73</v>
      </c>
      <c r="B8" s="4" t="n">
        <v>6.66</v>
      </c>
      <c r="C8" s="5" t="n">
        <v>62</v>
      </c>
      <c r="D8" s="5" t="n">
        <v>45</v>
      </c>
      <c r="E8" s="5" t="n">
        <v>2</v>
      </c>
      <c r="F8" s="5" t="n">
        <v>1</v>
      </c>
      <c r="G8" s="5" t="n">
        <v>0</v>
      </c>
      <c r="H8" s="5" t="n">
        <v>0</v>
      </c>
      <c r="I8" s="5" t="n">
        <v>28</v>
      </c>
      <c r="J8" s="5" t="n">
        <v>1</v>
      </c>
      <c r="K8" s="5" t="n">
        <v>0</v>
      </c>
      <c r="L8" s="5" t="n">
        <v>1</v>
      </c>
      <c r="M8" s="5" t="n">
        <v>0</v>
      </c>
      <c r="N8" s="5" t="n">
        <v>25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8" t="n">
        <f aca="false">IF(D8&gt;0,C8/D8,"")</f>
        <v>1.37777777777778</v>
      </c>
      <c r="U8" s="6" t="n">
        <f aca="false">IF(C8&gt;0,F8/C8,"")</f>
        <v>0.0161290322580645</v>
      </c>
      <c r="V8" s="4" t="n">
        <f aca="false">IF(C8&gt;0,B8/C8*1000,"")</f>
        <v>107.41935483871</v>
      </c>
      <c r="W8" s="4" t="n">
        <f aca="false">IF(F8&gt;0,B8/F8,"")</f>
        <v>6.66</v>
      </c>
      <c r="X8" s="4" t="str">
        <f aca="false">IF(H8&gt;0,B8/H8,"")</f>
        <v/>
      </c>
      <c r="Y8" s="7" t="n">
        <f aca="false">IF(F8&gt;0,G8/F8,"")</f>
        <v>0</v>
      </c>
      <c r="Z8" s="7" t="str">
        <f aca="false">IF(G8&gt;0,H8/G8,"")</f>
        <v/>
      </c>
      <c r="AA8" s="6" t="n">
        <f aca="false">IF(C8&gt;0,I8/C8,"")</f>
        <v>0.451612903225806</v>
      </c>
      <c r="AB8" s="7" t="n">
        <f aca="false">IF(C8&gt;0,N8/C8,"")</f>
        <v>0.403225806451613</v>
      </c>
      <c r="AC8" s="7" t="n">
        <f aca="false">IF(N8&gt;0,R8/N8,"")</f>
        <v>0</v>
      </c>
    </row>
    <row r="9" customFormat="false" ht="15" hidden="false" customHeight="false" outlineLevel="0" collapsed="false">
      <c r="A9" s="2" t="s">
        <v>74</v>
      </c>
      <c r="B9" s="4" t="n">
        <v>5.84</v>
      </c>
      <c r="C9" s="5" t="n">
        <v>61</v>
      </c>
      <c r="D9" s="5" t="n">
        <v>46</v>
      </c>
      <c r="E9" s="5" t="n">
        <v>2</v>
      </c>
      <c r="F9" s="5" t="n">
        <v>1</v>
      </c>
      <c r="G9" s="5" t="n">
        <v>0</v>
      </c>
      <c r="H9" s="5" t="n">
        <v>0</v>
      </c>
      <c r="I9" s="5" t="n">
        <v>27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26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8" t="n">
        <f aca="false">IF(D9&gt;0,C9/D9,"")</f>
        <v>1.32608695652174</v>
      </c>
      <c r="U9" s="6" t="n">
        <f aca="false">IF(C9&gt;0,F9/C9,"")</f>
        <v>0.0163934426229508</v>
      </c>
      <c r="V9" s="4" t="n">
        <f aca="false">IF(C9&gt;0,B9/C9*1000,"")</f>
        <v>95.7377049180328</v>
      </c>
      <c r="W9" s="4" t="n">
        <f aca="false">IF(F9&gt;0,B9/F9,"")</f>
        <v>5.84</v>
      </c>
      <c r="X9" s="4" t="str">
        <f aca="false">IF(H9&gt;0,B9/H9,"")</f>
        <v/>
      </c>
      <c r="Y9" s="7" t="n">
        <f aca="false">IF(F9&gt;0,G9/F9,"")</f>
        <v>0</v>
      </c>
      <c r="Z9" s="7" t="str">
        <f aca="false">IF(G9&gt;0,H9/G9,"")</f>
        <v/>
      </c>
      <c r="AA9" s="6" t="n">
        <f aca="false">IF(C9&gt;0,I9/C9,"")</f>
        <v>0.442622950819672</v>
      </c>
      <c r="AB9" s="7" t="n">
        <f aca="false">IF(C9&gt;0,N9/C9,"")</f>
        <v>0.426229508196721</v>
      </c>
      <c r="AC9" s="7" t="n">
        <f aca="false">IF(N9&gt;0,R9/N9,"")</f>
        <v>0</v>
      </c>
    </row>
    <row r="10" customFormat="false" ht="15" hidden="false" customHeight="false" outlineLevel="0" collapsed="false">
      <c r="A10" s="2" t="s">
        <v>75</v>
      </c>
      <c r="B10" s="4" t="n">
        <v>5.32</v>
      </c>
      <c r="C10" s="5" t="n">
        <v>35</v>
      </c>
      <c r="D10" s="5" t="n">
        <v>24</v>
      </c>
      <c r="E10" s="5" t="n">
        <v>3</v>
      </c>
      <c r="F10" s="5" t="n">
        <v>3</v>
      </c>
      <c r="G10" s="5" t="n">
        <v>0</v>
      </c>
      <c r="H10" s="5" t="n">
        <v>0</v>
      </c>
      <c r="I10" s="5" t="n">
        <v>20</v>
      </c>
      <c r="J10" s="5" t="n">
        <v>0</v>
      </c>
      <c r="K10" s="5" t="n">
        <v>0</v>
      </c>
      <c r="L10" s="5" t="n">
        <v>1</v>
      </c>
      <c r="M10" s="5" t="n">
        <v>0</v>
      </c>
      <c r="N10" s="5" t="n">
        <v>16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8" t="n">
        <f aca="false">IF(D10&gt;0,C10/D10,"")</f>
        <v>1.45833333333333</v>
      </c>
      <c r="U10" s="6" t="n">
        <f aca="false">IF(C10&gt;0,F10/C10,"")</f>
        <v>0.0857142857142857</v>
      </c>
      <c r="V10" s="4" t="n">
        <f aca="false">IF(C10&gt;0,B10/C10*1000,"")</f>
        <v>152</v>
      </c>
      <c r="W10" s="4" t="n">
        <f aca="false">IF(F10&gt;0,B10/F10,"")</f>
        <v>1.77333333333333</v>
      </c>
      <c r="X10" s="4" t="str">
        <f aca="false">IF(H10&gt;0,B10/H10,"")</f>
        <v/>
      </c>
      <c r="Y10" s="7" t="n">
        <f aca="false">IF(F10&gt;0,G10/F10,"")</f>
        <v>0</v>
      </c>
      <c r="Z10" s="7" t="str">
        <f aca="false">IF(G10&gt;0,H10/G10,"")</f>
        <v/>
      </c>
      <c r="AA10" s="6" t="n">
        <f aca="false">IF(C10&gt;0,I10/C10,"")</f>
        <v>0.571428571428571</v>
      </c>
      <c r="AB10" s="7" t="n">
        <f aca="false">IF(C10&gt;0,N10/C10,"")</f>
        <v>0.457142857142857</v>
      </c>
      <c r="AC10" s="7" t="n">
        <f aca="false">IF(N10&gt;0,R10/N10,"")</f>
        <v>0</v>
      </c>
    </row>
    <row r="11" customFormat="false" ht="15" hidden="false" customHeight="false" outlineLevel="0" collapsed="false">
      <c r="A11" s="2" t="s">
        <v>76</v>
      </c>
      <c r="B11" s="4" t="n">
        <v>4.92</v>
      </c>
      <c r="C11" s="5" t="n">
        <v>57</v>
      </c>
      <c r="D11" s="5" t="n">
        <v>42</v>
      </c>
      <c r="E11" s="5" t="n">
        <v>1</v>
      </c>
      <c r="F11" s="5" t="n">
        <v>1</v>
      </c>
      <c r="G11" s="5" t="n">
        <v>0</v>
      </c>
      <c r="H11" s="5" t="n">
        <v>0</v>
      </c>
      <c r="I11" s="5" t="n">
        <v>23</v>
      </c>
      <c r="J11" s="5" t="n">
        <v>1</v>
      </c>
      <c r="K11" s="5" t="n">
        <v>0</v>
      </c>
      <c r="L11" s="5" t="n">
        <v>0</v>
      </c>
      <c r="M11" s="5" t="n">
        <v>0</v>
      </c>
      <c r="N11" s="5" t="n">
        <v>21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8" t="n">
        <f aca="false">IF(D11&gt;0,C11/D11,"")</f>
        <v>1.35714285714286</v>
      </c>
      <c r="U11" s="6" t="n">
        <f aca="false">IF(C11&gt;0,F11/C11,"")</f>
        <v>0.0175438596491228</v>
      </c>
      <c r="V11" s="4" t="n">
        <f aca="false">IF(C11&gt;0,B11/C11*1000,"")</f>
        <v>86.3157894736842</v>
      </c>
      <c r="W11" s="4" t="n">
        <f aca="false">IF(F11&gt;0,B11/F11,"")</f>
        <v>4.92</v>
      </c>
      <c r="X11" s="4" t="str">
        <f aca="false">IF(H11&gt;0,B11/H11,"")</f>
        <v/>
      </c>
      <c r="Y11" s="7" t="n">
        <f aca="false">IF(F11&gt;0,G11/F11,"")</f>
        <v>0</v>
      </c>
      <c r="Z11" s="7" t="str">
        <f aca="false">IF(G11&gt;0,H11/G11,"")</f>
        <v/>
      </c>
      <c r="AA11" s="6" t="n">
        <f aca="false">IF(C11&gt;0,I11/C11,"")</f>
        <v>0.403508771929825</v>
      </c>
      <c r="AB11" s="7" t="n">
        <f aca="false">IF(C11&gt;0,N11/C11,"")</f>
        <v>0.368421052631579</v>
      </c>
      <c r="AC11" s="7" t="n">
        <f aca="false">IF(N11&gt;0,R11/N11,"")</f>
        <v>0</v>
      </c>
    </row>
    <row r="12" customFormat="false" ht="15" hidden="false" customHeight="false" outlineLevel="0" collapsed="false">
      <c r="A12" s="2" t="s">
        <v>77</v>
      </c>
      <c r="B12" s="4" t="n">
        <v>4.39</v>
      </c>
      <c r="C12" s="5" t="n">
        <v>55</v>
      </c>
      <c r="D12" s="5" t="n">
        <v>33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23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23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8" t="n">
        <f aca="false">IF(D12&gt;0,C12/D12,"")</f>
        <v>1.66666666666667</v>
      </c>
      <c r="U12" s="6" t="n">
        <f aca="false">IF(C12&gt;0,F12/C12,"")</f>
        <v>0</v>
      </c>
      <c r="V12" s="4" t="n">
        <f aca="false">IF(C12&gt;0,B12/C12*1000,"")</f>
        <v>79.8181818181818</v>
      </c>
      <c r="W12" s="4" t="str">
        <f aca="false">IF(F12&gt;0,B12/F12,"")</f>
        <v/>
      </c>
      <c r="X12" s="4" t="str">
        <f aca="false">IF(H12&gt;0,B12/H12,"")</f>
        <v/>
      </c>
      <c r="Y12" s="7" t="str">
        <f aca="false">IF(F12&gt;0,G12/F12,"")</f>
        <v/>
      </c>
      <c r="Z12" s="7" t="str">
        <f aca="false">IF(G12&gt;0,H12/G12,"")</f>
        <v/>
      </c>
      <c r="AA12" s="6" t="n">
        <f aca="false">IF(C12&gt;0,I12/C12,"")</f>
        <v>0.418181818181818</v>
      </c>
      <c r="AB12" s="7" t="n">
        <f aca="false">IF(C12&gt;0,N12/C12,"")</f>
        <v>0.418181818181818</v>
      </c>
      <c r="AC12" s="7" t="n">
        <f aca="false">IF(N12&gt;0,R12/N12,"")</f>
        <v>0</v>
      </c>
    </row>
    <row r="13" customFormat="false" ht="15" hidden="false" customHeight="false" outlineLevel="0" collapsed="false">
      <c r="A13" s="2" t="s">
        <v>78</v>
      </c>
      <c r="B13" s="4" t="n">
        <v>4.22</v>
      </c>
      <c r="C13" s="5" t="n">
        <v>34</v>
      </c>
      <c r="D13" s="5" t="n">
        <v>27</v>
      </c>
      <c r="E13" s="5" t="n">
        <v>2</v>
      </c>
      <c r="F13" s="5" t="n">
        <v>1</v>
      </c>
      <c r="G13" s="5" t="n">
        <v>0</v>
      </c>
      <c r="H13" s="5" t="n">
        <v>0</v>
      </c>
      <c r="I13" s="5" t="n">
        <v>15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14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8" t="n">
        <f aca="false">IF(D13&gt;0,C13/D13,"")</f>
        <v>1.25925925925926</v>
      </c>
      <c r="U13" s="6" t="n">
        <f aca="false">IF(C13&gt;0,F13/C13,"")</f>
        <v>0.0294117647058824</v>
      </c>
      <c r="V13" s="4" t="n">
        <f aca="false">IF(C13&gt;0,B13/C13*1000,"")</f>
        <v>124.117647058824</v>
      </c>
      <c r="W13" s="4" t="n">
        <f aca="false">IF(F13&gt;0,B13/F13,"")</f>
        <v>4.22</v>
      </c>
      <c r="X13" s="4" t="str">
        <f aca="false">IF(H13&gt;0,B13/H13,"")</f>
        <v/>
      </c>
      <c r="Y13" s="7" t="n">
        <f aca="false">IF(F13&gt;0,G13/F13,"")</f>
        <v>0</v>
      </c>
      <c r="Z13" s="7" t="str">
        <f aca="false">IF(G13&gt;0,H13/G13,"")</f>
        <v/>
      </c>
      <c r="AA13" s="6" t="n">
        <f aca="false">IF(C13&gt;0,I13/C13,"")</f>
        <v>0.441176470588235</v>
      </c>
      <c r="AB13" s="7" t="n">
        <f aca="false">IF(C13&gt;0,N13/C13,"")</f>
        <v>0.411764705882353</v>
      </c>
      <c r="AC13" s="7" t="n">
        <f aca="false">IF(N13&gt;0,R13/N13,"")</f>
        <v>0</v>
      </c>
    </row>
    <row r="14" customFormat="false" ht="15" hidden="false" customHeight="false" outlineLevel="0" collapsed="false">
      <c r="A14" s="2" t="s">
        <v>79</v>
      </c>
      <c r="B14" s="4" t="n">
        <v>4.03</v>
      </c>
      <c r="C14" s="5" t="n">
        <v>24</v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13</v>
      </c>
      <c r="J14" s="5" t="n">
        <v>1</v>
      </c>
      <c r="K14" s="5" t="n">
        <v>0</v>
      </c>
      <c r="L14" s="5" t="n">
        <v>0</v>
      </c>
      <c r="M14" s="5" t="n">
        <v>0</v>
      </c>
      <c r="N14" s="5" t="n">
        <v>12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8" t="n">
        <f aca="false">IF(D14&gt;0,C14/D14,"")</f>
        <v>1.33333333333333</v>
      </c>
      <c r="U14" s="6" t="n">
        <f aca="false">IF(C14&gt;0,F14/C14,"")</f>
        <v>0</v>
      </c>
      <c r="V14" s="4" t="n">
        <f aca="false">IF(C14&gt;0,B14/C14*1000,"")</f>
        <v>167.916666666667</v>
      </c>
      <c r="W14" s="4" t="str">
        <f aca="false">IF(F14&gt;0,B14/F14,"")</f>
        <v/>
      </c>
      <c r="X14" s="4" t="str">
        <f aca="false">IF(H14&gt;0,B14/H14,"")</f>
        <v/>
      </c>
      <c r="Y14" s="7" t="str">
        <f aca="false">IF(F14&gt;0,G14/F14,"")</f>
        <v/>
      </c>
      <c r="Z14" s="7" t="str">
        <f aca="false">IF(G14&gt;0,H14/G14,"")</f>
        <v/>
      </c>
      <c r="AA14" s="6" t="n">
        <f aca="false">IF(C14&gt;0,I14/C14,"")</f>
        <v>0.541666666666667</v>
      </c>
      <c r="AB14" s="7" t="n">
        <f aca="false">IF(C14&gt;0,N14/C14,"")</f>
        <v>0.5</v>
      </c>
      <c r="AC14" s="7" t="n">
        <f aca="false">IF(N14&gt;0,R14/N14,"")</f>
        <v>0</v>
      </c>
    </row>
    <row r="15" customFormat="false" ht="15" hidden="false" customHeight="false" outlineLevel="0" collapsed="false">
      <c r="A15" s="2" t="s">
        <v>80</v>
      </c>
      <c r="B15" s="4" t="n">
        <v>3.2</v>
      </c>
      <c r="C15" s="5" t="n">
        <v>27</v>
      </c>
      <c r="D15" s="5" t="n">
        <v>22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14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14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8" t="n">
        <f aca="false">IF(D15&gt;0,C15/D15,"")</f>
        <v>1.22727272727273</v>
      </c>
      <c r="U15" s="6" t="n">
        <f aca="false">IF(C15&gt;0,F15/C15,"")</f>
        <v>0</v>
      </c>
      <c r="V15" s="4" t="n">
        <f aca="false">IF(C15&gt;0,B15/C15*1000,"")</f>
        <v>118.518518518519</v>
      </c>
      <c r="W15" s="4" t="str">
        <f aca="false">IF(F15&gt;0,B15/F15,"")</f>
        <v/>
      </c>
      <c r="X15" s="4" t="str">
        <f aca="false">IF(H15&gt;0,B15/H15,"")</f>
        <v/>
      </c>
      <c r="Y15" s="7" t="str">
        <f aca="false">IF(F15&gt;0,G15/F15,"")</f>
        <v/>
      </c>
      <c r="Z15" s="7" t="str">
        <f aca="false">IF(G15&gt;0,H15/G15,"")</f>
        <v/>
      </c>
      <c r="AA15" s="6" t="n">
        <f aca="false">IF(C15&gt;0,I15/C15,"")</f>
        <v>0.518518518518519</v>
      </c>
      <c r="AB15" s="7" t="n">
        <f aca="false">IF(C15&gt;0,N15/C15,"")</f>
        <v>0.518518518518519</v>
      </c>
      <c r="AC15" s="7" t="n">
        <f aca="false">IF(N15&gt;0,R15/N15,"")</f>
        <v>0</v>
      </c>
    </row>
    <row r="16" customFormat="false" ht="15" hidden="false" customHeight="false" outlineLevel="0" collapsed="false">
      <c r="A16" s="2" t="s">
        <v>81</v>
      </c>
      <c r="B16" s="4" t="n">
        <v>3.08</v>
      </c>
      <c r="C16" s="5" t="n">
        <v>26</v>
      </c>
      <c r="D16" s="5" t="n">
        <v>15</v>
      </c>
      <c r="E16" s="5" t="n">
        <v>4</v>
      </c>
      <c r="F16" s="5" t="n">
        <v>3</v>
      </c>
      <c r="G16" s="5" t="n">
        <v>0</v>
      </c>
      <c r="H16" s="5" t="n">
        <v>0</v>
      </c>
      <c r="I16" s="5" t="n">
        <v>14</v>
      </c>
      <c r="J16" s="5" t="n">
        <v>1</v>
      </c>
      <c r="K16" s="5" t="n">
        <v>0</v>
      </c>
      <c r="L16" s="5" t="n">
        <v>0</v>
      </c>
      <c r="M16" s="5" t="n">
        <v>0</v>
      </c>
      <c r="N16" s="5" t="n">
        <v>10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8" t="n">
        <f aca="false">IF(D16&gt;0,C16/D16,"")</f>
        <v>1.73333333333333</v>
      </c>
      <c r="U16" s="6" t="n">
        <f aca="false">IF(C16&gt;0,F16/C16,"")</f>
        <v>0.115384615384615</v>
      </c>
      <c r="V16" s="4" t="n">
        <f aca="false">IF(C16&gt;0,B16/C16*1000,"")</f>
        <v>118.461538461538</v>
      </c>
      <c r="W16" s="4" t="n">
        <f aca="false">IF(F16&gt;0,B16/F16,"")</f>
        <v>1.02666666666667</v>
      </c>
      <c r="X16" s="4" t="str">
        <f aca="false">IF(H16&gt;0,B16/H16,"")</f>
        <v/>
      </c>
      <c r="Y16" s="7" t="n">
        <f aca="false">IF(F16&gt;0,G16/F16,"")</f>
        <v>0</v>
      </c>
      <c r="Z16" s="7" t="str">
        <f aca="false">IF(G16&gt;0,H16/G16,"")</f>
        <v/>
      </c>
      <c r="AA16" s="6" t="n">
        <f aca="false">IF(C16&gt;0,I16/C16,"")</f>
        <v>0.538461538461538</v>
      </c>
      <c r="AB16" s="7" t="n">
        <f aca="false">IF(C16&gt;0,N16/C16,"")</f>
        <v>0.384615384615385</v>
      </c>
      <c r="AC16" s="7" t="n">
        <f aca="false">IF(N16&gt;0,R16/N16,"")</f>
        <v>0</v>
      </c>
    </row>
    <row r="17" customFormat="false" ht="15" hidden="false" customHeight="false" outlineLevel="0" collapsed="false">
      <c r="A17" s="2" t="s">
        <v>82</v>
      </c>
      <c r="B17" s="4" t="n">
        <v>2.9</v>
      </c>
      <c r="C17" s="5" t="n">
        <v>45</v>
      </c>
      <c r="D17" s="5" t="n">
        <v>34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17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17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8" t="n">
        <f aca="false">IF(D17&gt;0,C17/D17,"")</f>
        <v>1.32352941176471</v>
      </c>
      <c r="U17" s="6" t="n">
        <f aca="false">IF(C17&gt;0,F17/C17,"")</f>
        <v>0</v>
      </c>
      <c r="V17" s="4" t="n">
        <f aca="false">IF(C17&gt;0,B17/C17*1000,"")</f>
        <v>64.4444444444444</v>
      </c>
      <c r="W17" s="4" t="str">
        <f aca="false">IF(F17&gt;0,B17/F17,"")</f>
        <v/>
      </c>
      <c r="X17" s="4" t="str">
        <f aca="false">IF(H17&gt;0,B17/H17,"")</f>
        <v/>
      </c>
      <c r="Y17" s="7" t="str">
        <f aca="false">IF(F17&gt;0,G17/F17,"")</f>
        <v/>
      </c>
      <c r="Z17" s="7" t="str">
        <f aca="false">IF(G17&gt;0,H17/G17,"")</f>
        <v/>
      </c>
      <c r="AA17" s="6" t="n">
        <f aca="false">IF(C17&gt;0,I17/C17,"")</f>
        <v>0.377777777777778</v>
      </c>
      <c r="AB17" s="7" t="n">
        <f aca="false">IF(C17&gt;0,N17/C17,"")</f>
        <v>0.377777777777778</v>
      </c>
      <c r="AC17" s="7" t="n">
        <f aca="false">IF(N17&gt;0,R17/N17,"")</f>
        <v>0</v>
      </c>
    </row>
    <row r="18" customFormat="false" ht="15" hidden="false" customHeight="false" outlineLevel="0" collapsed="false">
      <c r="A18" s="2" t="s">
        <v>83</v>
      </c>
      <c r="B18" s="4" t="n">
        <v>2.79</v>
      </c>
      <c r="C18" s="5" t="n">
        <v>43</v>
      </c>
      <c r="D18" s="5" t="n">
        <v>28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18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17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8" t="n">
        <f aca="false">IF(D18&gt;0,C18/D18,"")</f>
        <v>1.53571428571429</v>
      </c>
      <c r="U18" s="6" t="n">
        <f aca="false">IF(C18&gt;0,F18/C18,"")</f>
        <v>0.0232558139534884</v>
      </c>
      <c r="V18" s="4" t="n">
        <f aca="false">IF(C18&gt;0,B18/C18*1000,"")</f>
        <v>64.8837209302326</v>
      </c>
      <c r="W18" s="4" t="n">
        <f aca="false">IF(F18&gt;0,B18/F18,"")</f>
        <v>2.79</v>
      </c>
      <c r="X18" s="4" t="str">
        <f aca="false">IF(H18&gt;0,B18/H18,"")</f>
        <v/>
      </c>
      <c r="Y18" s="7" t="n">
        <f aca="false">IF(F18&gt;0,G18/F18,"")</f>
        <v>0</v>
      </c>
      <c r="Z18" s="7" t="str">
        <f aca="false">IF(G18&gt;0,H18/G18,"")</f>
        <v/>
      </c>
      <c r="AA18" s="6" t="n">
        <f aca="false">IF(C18&gt;0,I18/C18,"")</f>
        <v>0.418604651162791</v>
      </c>
      <c r="AB18" s="7" t="n">
        <f aca="false">IF(C18&gt;0,N18/C18,"")</f>
        <v>0.395348837209302</v>
      </c>
      <c r="AC18" s="7" t="n">
        <f aca="false">IF(N18&gt;0,R18/N18,"")</f>
        <v>0</v>
      </c>
    </row>
    <row r="19" customFormat="false" ht="15" hidden="false" customHeight="false" outlineLevel="0" collapsed="false">
      <c r="A19" s="2" t="s">
        <v>84</v>
      </c>
      <c r="B19" s="4" t="n">
        <v>2.78</v>
      </c>
      <c r="C19" s="5" t="n">
        <v>27</v>
      </c>
      <c r="D19" s="5" t="n">
        <v>24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12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12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8" t="n">
        <f aca="false">IF(D19&gt;0,C19/D19,"")</f>
        <v>1.125</v>
      </c>
      <c r="U19" s="6" t="n">
        <f aca="false">IF(C19&gt;0,F19/C19,"")</f>
        <v>0</v>
      </c>
      <c r="V19" s="4" t="n">
        <f aca="false">IF(C19&gt;0,B19/C19*1000,"")</f>
        <v>102.962962962963</v>
      </c>
      <c r="W19" s="4" t="str">
        <f aca="false">IF(F19&gt;0,B19/F19,"")</f>
        <v/>
      </c>
      <c r="X19" s="4" t="str">
        <f aca="false">IF(H19&gt;0,B19/H19,"")</f>
        <v/>
      </c>
      <c r="Y19" s="7" t="str">
        <f aca="false">IF(F19&gt;0,G19/F19,"")</f>
        <v/>
      </c>
      <c r="Z19" s="7" t="str">
        <f aca="false">IF(G19&gt;0,H19/G19,"")</f>
        <v/>
      </c>
      <c r="AA19" s="6" t="n">
        <f aca="false">IF(C19&gt;0,I19/C19,"")</f>
        <v>0.444444444444444</v>
      </c>
      <c r="AB19" s="7" t="n">
        <f aca="false">IF(C19&gt;0,N19/C19,"")</f>
        <v>0.444444444444444</v>
      </c>
      <c r="AC19" s="7" t="n">
        <f aca="false">IF(N19&gt;0,R19/N19,"")</f>
        <v>0</v>
      </c>
    </row>
    <row r="20" customFormat="false" ht="15" hidden="false" customHeight="false" outlineLevel="0" collapsed="false">
      <c r="A20" s="2" t="s">
        <v>85</v>
      </c>
      <c r="B20" s="4" t="n">
        <v>2.61</v>
      </c>
      <c r="C20" s="5" t="n">
        <v>23</v>
      </c>
      <c r="D20" s="5" t="n">
        <v>19</v>
      </c>
      <c r="E20" s="5" t="n">
        <v>1</v>
      </c>
      <c r="F20" s="5" t="n">
        <v>0</v>
      </c>
      <c r="G20" s="5" t="n">
        <v>0</v>
      </c>
      <c r="H20" s="5" t="n">
        <v>0</v>
      </c>
      <c r="I20" s="5" t="n">
        <v>5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5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8" t="n">
        <f aca="false">IF(D20&gt;0,C20/D20,"")</f>
        <v>1.21052631578947</v>
      </c>
      <c r="U20" s="6" t="n">
        <f aca="false">IF(C20&gt;0,F20/C20,"")</f>
        <v>0</v>
      </c>
      <c r="V20" s="4" t="n">
        <f aca="false">IF(C20&gt;0,B20/C20*1000,"")</f>
        <v>113.478260869565</v>
      </c>
      <c r="W20" s="4" t="str">
        <f aca="false">IF(F20&gt;0,B20/F20,"")</f>
        <v/>
      </c>
      <c r="X20" s="4" t="str">
        <f aca="false">IF(H20&gt;0,B20/H20,"")</f>
        <v/>
      </c>
      <c r="Y20" s="7" t="str">
        <f aca="false">IF(F20&gt;0,G20/F20,"")</f>
        <v/>
      </c>
      <c r="Z20" s="7" t="str">
        <f aca="false">IF(G20&gt;0,H20/G20,"")</f>
        <v/>
      </c>
      <c r="AA20" s="6" t="n">
        <f aca="false">IF(C20&gt;0,I20/C20,"")</f>
        <v>0.217391304347826</v>
      </c>
      <c r="AB20" s="7" t="n">
        <f aca="false">IF(C20&gt;0,N20/C20,"")</f>
        <v>0.217391304347826</v>
      </c>
      <c r="AC20" s="7" t="n">
        <f aca="false">IF(N20&gt;0,R20/N20,"")</f>
        <v>0</v>
      </c>
    </row>
    <row r="21" customFormat="false" ht="15" hidden="false" customHeight="false" outlineLevel="0" collapsed="false">
      <c r="A21" s="2" t="s">
        <v>86</v>
      </c>
      <c r="B21" s="4" t="n">
        <v>2.01</v>
      </c>
      <c r="C21" s="5" t="n">
        <v>27</v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12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12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8" t="n">
        <f aca="false">IF(D21&gt;0,C21/D21,"")</f>
        <v>1.28571428571429</v>
      </c>
      <c r="U21" s="6" t="n">
        <f aca="false">IF(C21&gt;0,F21/C21,"")</f>
        <v>0</v>
      </c>
      <c r="V21" s="4" t="n">
        <f aca="false">IF(C21&gt;0,B21/C21*1000,"")</f>
        <v>74.4444444444444</v>
      </c>
      <c r="W21" s="4" t="str">
        <f aca="false">IF(F21&gt;0,B21/F21,"")</f>
        <v/>
      </c>
      <c r="X21" s="4" t="str">
        <f aca="false">IF(H21&gt;0,B21/H21,"")</f>
        <v/>
      </c>
      <c r="Y21" s="7" t="str">
        <f aca="false">IF(F21&gt;0,G21/F21,"")</f>
        <v/>
      </c>
      <c r="Z21" s="7" t="str">
        <f aca="false">IF(G21&gt;0,H21/G21,"")</f>
        <v/>
      </c>
      <c r="AA21" s="6" t="n">
        <f aca="false">IF(C21&gt;0,I21/C21,"")</f>
        <v>0.444444444444444</v>
      </c>
      <c r="AB21" s="7" t="n">
        <f aca="false">IF(C21&gt;0,N21/C21,"")</f>
        <v>0.444444444444444</v>
      </c>
      <c r="AC21" s="7" t="n">
        <f aca="false">IF(N21&gt;0,R21/N21,"")</f>
        <v>0</v>
      </c>
    </row>
    <row r="22" customFormat="false" ht="15" hidden="false" customHeight="false" outlineLevel="0" collapsed="false">
      <c r="A22" s="2" t="s">
        <v>87</v>
      </c>
      <c r="B22" s="4" t="n">
        <v>2.01</v>
      </c>
      <c r="C22" s="5" t="n">
        <v>30</v>
      </c>
      <c r="D22" s="5" t="n">
        <v>22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17</v>
      </c>
      <c r="J22" s="5" t="n">
        <v>1</v>
      </c>
      <c r="K22" s="5" t="n">
        <v>0</v>
      </c>
      <c r="L22" s="5" t="n">
        <v>0</v>
      </c>
      <c r="M22" s="5" t="n">
        <v>0</v>
      </c>
      <c r="N22" s="5" t="n">
        <v>16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8" t="n">
        <f aca="false">IF(D22&gt;0,C22/D22,"")</f>
        <v>1.36363636363636</v>
      </c>
      <c r="U22" s="6" t="n">
        <f aca="false">IF(C22&gt;0,F22/C22,"")</f>
        <v>0</v>
      </c>
      <c r="V22" s="4" t="n">
        <f aca="false">IF(C22&gt;0,B22/C22*1000,"")</f>
        <v>67</v>
      </c>
      <c r="W22" s="4" t="str">
        <f aca="false">IF(F22&gt;0,B22/F22,"")</f>
        <v/>
      </c>
      <c r="X22" s="4" t="str">
        <f aca="false">IF(H22&gt;0,B22/H22,"")</f>
        <v/>
      </c>
      <c r="Y22" s="7" t="str">
        <f aca="false">IF(F22&gt;0,G22/F22,"")</f>
        <v/>
      </c>
      <c r="Z22" s="7" t="str">
        <f aca="false">IF(G22&gt;0,H22/G22,"")</f>
        <v/>
      </c>
      <c r="AA22" s="6" t="n">
        <f aca="false">IF(C22&gt;0,I22/C22,"")</f>
        <v>0.566666666666667</v>
      </c>
      <c r="AB22" s="7" t="n">
        <f aca="false">IF(C22&gt;0,N22/C22,"")</f>
        <v>0.533333333333333</v>
      </c>
      <c r="AC22" s="7" t="n">
        <f aca="false">IF(N22&gt;0,R22/N22,"")</f>
        <v>0</v>
      </c>
    </row>
    <row r="23" customFormat="false" ht="15" hidden="false" customHeight="false" outlineLevel="0" collapsed="false">
      <c r="A23" s="2" t="s">
        <v>88</v>
      </c>
      <c r="B23" s="4" t="n">
        <v>1.91</v>
      </c>
      <c r="C23" s="5" t="n">
        <v>28</v>
      </c>
      <c r="D23" s="5" t="n">
        <v>23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13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12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8" t="n">
        <f aca="false">IF(D23&gt;0,C23/D23,"")</f>
        <v>1.21739130434783</v>
      </c>
      <c r="U23" s="6" t="n">
        <f aca="false">IF(C23&gt;0,F23/C23,"")</f>
        <v>0</v>
      </c>
      <c r="V23" s="4" t="n">
        <f aca="false">IF(C23&gt;0,B23/C23*1000,"")</f>
        <v>68.2142857142857</v>
      </c>
      <c r="W23" s="4" t="str">
        <f aca="false">IF(F23&gt;0,B23/F23,"")</f>
        <v/>
      </c>
      <c r="X23" s="4" t="str">
        <f aca="false">IF(H23&gt;0,B23/H23,"")</f>
        <v/>
      </c>
      <c r="Y23" s="7" t="str">
        <f aca="false">IF(F23&gt;0,G23/F23,"")</f>
        <v/>
      </c>
      <c r="Z23" s="7" t="str">
        <f aca="false">IF(G23&gt;0,H23/G23,"")</f>
        <v/>
      </c>
      <c r="AA23" s="6" t="n">
        <f aca="false">IF(C23&gt;0,I23/C23,"")</f>
        <v>0.464285714285714</v>
      </c>
      <c r="AB23" s="7" t="n">
        <f aca="false">IF(C23&gt;0,N23/C23,"")</f>
        <v>0.428571428571429</v>
      </c>
      <c r="AC23" s="7" t="n">
        <f aca="false">IF(N23&gt;0,R23/N23,"")</f>
        <v>0</v>
      </c>
    </row>
    <row r="24" customFormat="false" ht="15" hidden="false" customHeight="false" outlineLevel="0" collapsed="false">
      <c r="A24" s="2" t="s">
        <v>89</v>
      </c>
      <c r="B24" s="4" t="n">
        <v>1.79</v>
      </c>
      <c r="C24" s="5" t="n">
        <v>38</v>
      </c>
      <c r="D24" s="5" t="n">
        <v>31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16</v>
      </c>
      <c r="J24" s="5" t="n">
        <v>1</v>
      </c>
      <c r="K24" s="5" t="n">
        <v>0</v>
      </c>
      <c r="L24" s="5" t="n">
        <v>0</v>
      </c>
      <c r="M24" s="5" t="n">
        <v>0</v>
      </c>
      <c r="N24" s="5" t="n">
        <v>15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8" t="n">
        <f aca="false">IF(D24&gt;0,C24/D24,"")</f>
        <v>1.2258064516129</v>
      </c>
      <c r="U24" s="6" t="n">
        <f aca="false">IF(C24&gt;0,F24/C24,"")</f>
        <v>0</v>
      </c>
      <c r="V24" s="4" t="n">
        <f aca="false">IF(C24&gt;0,B24/C24*1000,"")</f>
        <v>47.1052631578947</v>
      </c>
      <c r="W24" s="4" t="str">
        <f aca="false">IF(F24&gt;0,B24/F24,"")</f>
        <v/>
      </c>
      <c r="X24" s="4" t="str">
        <f aca="false">IF(H24&gt;0,B24/H24,"")</f>
        <v/>
      </c>
      <c r="Y24" s="7" t="str">
        <f aca="false">IF(F24&gt;0,G24/F24,"")</f>
        <v/>
      </c>
      <c r="Z24" s="7" t="str">
        <f aca="false">IF(G24&gt;0,H24/G24,"")</f>
        <v/>
      </c>
      <c r="AA24" s="6" t="n">
        <f aca="false">IF(C24&gt;0,I24/C24,"")</f>
        <v>0.421052631578947</v>
      </c>
      <c r="AB24" s="7" t="n">
        <f aca="false">IF(C24&gt;0,N24/C24,"")</f>
        <v>0.394736842105263</v>
      </c>
      <c r="AC24" s="7" t="n">
        <f aca="false">IF(N24&gt;0,R24/N24,"")</f>
        <v>0</v>
      </c>
    </row>
    <row r="25" customFormat="false" ht="15" hidden="false" customHeight="false" outlineLevel="0" collapsed="false">
      <c r="A25" s="2" t="s">
        <v>90</v>
      </c>
      <c r="B25" s="4" t="n">
        <v>1.5</v>
      </c>
      <c r="C25" s="5" t="n">
        <v>7</v>
      </c>
      <c r="D25" s="5" t="n">
        <v>6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4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8" t="n">
        <f aca="false">IF(D25&gt;0,C25/D25,"")</f>
        <v>1.16666666666667</v>
      </c>
      <c r="U25" s="6" t="n">
        <f aca="false">IF(C25&gt;0,F25/C25,"")</f>
        <v>0</v>
      </c>
      <c r="V25" s="4" t="n">
        <f aca="false">IF(C25&gt;0,B25/C25*1000,"")</f>
        <v>214.285714285714</v>
      </c>
      <c r="W25" s="4" t="str">
        <f aca="false">IF(F25&gt;0,B25/F25,"")</f>
        <v/>
      </c>
      <c r="X25" s="4" t="str">
        <f aca="false">IF(H25&gt;0,B25/H25,"")</f>
        <v/>
      </c>
      <c r="Y25" s="7" t="str">
        <f aca="false">IF(F25&gt;0,G25/F25,"")</f>
        <v/>
      </c>
      <c r="Z25" s="7" t="str">
        <f aca="false">IF(G25&gt;0,H25/G25,"")</f>
        <v/>
      </c>
      <c r="AA25" s="6" t="n">
        <f aca="false">IF(C25&gt;0,I25/C25,"")</f>
        <v>0.571428571428571</v>
      </c>
      <c r="AB25" s="7" t="n">
        <f aca="false">IF(C25&gt;0,N25/C25,"")</f>
        <v>0.571428571428571</v>
      </c>
      <c r="AC25" s="7" t="n">
        <f aca="false">IF(N25&gt;0,R25/N25,"")</f>
        <v>0</v>
      </c>
    </row>
    <row r="26" customFormat="false" ht="15" hidden="false" customHeight="false" outlineLevel="0" collapsed="false">
      <c r="A26" s="2" t="s">
        <v>91</v>
      </c>
      <c r="B26" s="4" t="n">
        <v>1.5</v>
      </c>
      <c r="C26" s="5" t="n">
        <v>14</v>
      </c>
      <c r="D26" s="5" t="n">
        <v>10</v>
      </c>
      <c r="E26" s="5" t="n">
        <v>4</v>
      </c>
      <c r="F26" s="5" t="n">
        <v>2</v>
      </c>
      <c r="G26" s="5" t="n">
        <v>0</v>
      </c>
      <c r="H26" s="5" t="n">
        <v>0</v>
      </c>
      <c r="I26" s="5" t="n">
        <v>11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9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8" t="n">
        <f aca="false">IF(D26&gt;0,C26/D26,"")</f>
        <v>1.4</v>
      </c>
      <c r="U26" s="6" t="n">
        <f aca="false">IF(C26&gt;0,F26/C26,"")</f>
        <v>0.142857142857143</v>
      </c>
      <c r="V26" s="4" t="n">
        <f aca="false">IF(C26&gt;0,B26/C26*1000,"")</f>
        <v>107.142857142857</v>
      </c>
      <c r="W26" s="4" t="n">
        <f aca="false">IF(F26&gt;0,B26/F26,"")</f>
        <v>0.75</v>
      </c>
      <c r="X26" s="4" t="str">
        <f aca="false">IF(H26&gt;0,B26/H26,"")</f>
        <v/>
      </c>
      <c r="Y26" s="7" t="n">
        <f aca="false">IF(F26&gt;0,G26/F26,"")</f>
        <v>0</v>
      </c>
      <c r="Z26" s="7" t="str">
        <f aca="false">IF(G26&gt;0,H26/G26,"")</f>
        <v/>
      </c>
      <c r="AA26" s="6" t="n">
        <f aca="false">IF(C26&gt;0,I26/C26,"")</f>
        <v>0.785714285714286</v>
      </c>
      <c r="AB26" s="7" t="n">
        <f aca="false">IF(C26&gt;0,N26/C26,"")</f>
        <v>0.642857142857143</v>
      </c>
      <c r="AC26" s="7" t="n">
        <f aca="false">IF(N26&gt;0,R26/N26,"")</f>
        <v>0</v>
      </c>
    </row>
    <row r="27" customFormat="false" ht="15" hidden="false" customHeight="false" outlineLevel="0" collapsed="false">
      <c r="A27" s="2" t="s">
        <v>92</v>
      </c>
      <c r="B27" s="4" t="n">
        <v>1.45</v>
      </c>
      <c r="C27" s="5" t="n">
        <v>18</v>
      </c>
      <c r="D27" s="5" t="n">
        <v>12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7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6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8" t="n">
        <f aca="false">IF(D27&gt;0,C27/D27,"")</f>
        <v>1.5</v>
      </c>
      <c r="U27" s="6" t="n">
        <f aca="false">IF(C27&gt;0,F27/C27,"")</f>
        <v>0.0555555555555556</v>
      </c>
      <c r="V27" s="4" t="n">
        <f aca="false">IF(C27&gt;0,B27/C27*1000,"")</f>
        <v>80.5555555555555</v>
      </c>
      <c r="W27" s="4" t="n">
        <f aca="false">IF(F27&gt;0,B27/F27,"")</f>
        <v>1.45</v>
      </c>
      <c r="X27" s="4" t="str">
        <f aca="false">IF(H27&gt;0,B27/H27,"")</f>
        <v/>
      </c>
      <c r="Y27" s="7" t="n">
        <f aca="false">IF(F27&gt;0,G27/F27,"")</f>
        <v>0</v>
      </c>
      <c r="Z27" s="7" t="str">
        <f aca="false">IF(G27&gt;0,H27/G27,"")</f>
        <v/>
      </c>
      <c r="AA27" s="6" t="n">
        <f aca="false">IF(C27&gt;0,I27/C27,"")</f>
        <v>0.388888888888889</v>
      </c>
      <c r="AB27" s="7" t="n">
        <f aca="false">IF(C27&gt;0,N27/C27,"")</f>
        <v>0.333333333333333</v>
      </c>
      <c r="AC27" s="7" t="n">
        <f aca="false">IF(N27&gt;0,R27/N27,"")</f>
        <v>0</v>
      </c>
    </row>
    <row r="28" customFormat="false" ht="15" hidden="false" customHeight="false" outlineLevel="0" collapsed="false">
      <c r="A28" s="2" t="s">
        <v>93</v>
      </c>
      <c r="B28" s="4" t="n">
        <v>1.11</v>
      </c>
      <c r="C28" s="5" t="n">
        <v>6</v>
      </c>
      <c r="D28" s="5" t="n">
        <v>5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2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8" t="n">
        <f aca="false">IF(D28&gt;0,C28/D28,"")</f>
        <v>1.2</v>
      </c>
      <c r="U28" s="6" t="n">
        <f aca="false">IF(C28&gt;0,F28/C28,"")</f>
        <v>0.166666666666667</v>
      </c>
      <c r="V28" s="4" t="n">
        <f aca="false">IF(C28&gt;0,B28/C28*1000,"")</f>
        <v>185</v>
      </c>
      <c r="W28" s="4" t="n">
        <f aca="false">IF(F28&gt;0,B28/F28,"")</f>
        <v>1.11</v>
      </c>
      <c r="X28" s="4" t="str">
        <f aca="false">IF(H28&gt;0,B28/H28,"")</f>
        <v/>
      </c>
      <c r="Y28" s="7" t="n">
        <f aca="false">IF(F28&gt;0,G28/F28,"")</f>
        <v>0</v>
      </c>
      <c r="Z28" s="7" t="str">
        <f aca="false">IF(G28&gt;0,H28/G28,"")</f>
        <v/>
      </c>
      <c r="AA28" s="6" t="n">
        <f aca="false">IF(C28&gt;0,I28/C28,"")</f>
        <v>0.333333333333333</v>
      </c>
      <c r="AB28" s="7" t="n">
        <f aca="false">IF(C28&gt;0,N28/C28,"")</f>
        <v>0.166666666666667</v>
      </c>
      <c r="AC28" s="7" t="n">
        <f aca="false">IF(N28&gt;0,R28/N28,"")</f>
        <v>0</v>
      </c>
    </row>
    <row r="29" customFormat="false" ht="15" hidden="false" customHeight="false" outlineLevel="0" collapsed="false">
      <c r="A29" s="2" t="s">
        <v>94</v>
      </c>
      <c r="B29" s="4" t="n">
        <v>0.97</v>
      </c>
      <c r="C29" s="5" t="n">
        <v>21</v>
      </c>
      <c r="D29" s="5" t="n">
        <v>16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7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7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8" t="n">
        <f aca="false">IF(D29&gt;0,C29/D29,"")</f>
        <v>1.3125</v>
      </c>
      <c r="U29" s="6" t="n">
        <f aca="false">IF(C29&gt;0,F29/C29,"")</f>
        <v>0</v>
      </c>
      <c r="V29" s="4" t="n">
        <f aca="false">IF(C29&gt;0,B29/C29*1000,"")</f>
        <v>46.1904761904762</v>
      </c>
      <c r="W29" s="4" t="str">
        <f aca="false">IF(F29&gt;0,B29/F29,"")</f>
        <v/>
      </c>
      <c r="X29" s="4" t="str">
        <f aca="false">IF(H29&gt;0,B29/H29,"")</f>
        <v/>
      </c>
      <c r="Y29" s="7" t="str">
        <f aca="false">IF(F29&gt;0,G29/F29,"")</f>
        <v/>
      </c>
      <c r="Z29" s="7" t="str">
        <f aca="false">IF(G29&gt;0,H29/G29,"")</f>
        <v/>
      </c>
      <c r="AA29" s="6" t="n">
        <f aca="false">IF(C29&gt;0,I29/C29,"")</f>
        <v>0.333333333333333</v>
      </c>
      <c r="AB29" s="7" t="n">
        <f aca="false">IF(C29&gt;0,N29/C29,"")</f>
        <v>0.333333333333333</v>
      </c>
      <c r="AC29" s="7" t="n">
        <f aca="false">IF(N29&gt;0,R29/N29,"")</f>
        <v>0</v>
      </c>
    </row>
    <row r="30" customFormat="false" ht="15" hidden="false" customHeight="false" outlineLevel="0" collapsed="false">
      <c r="A30" s="2" t="s">
        <v>95</v>
      </c>
      <c r="B30" s="4" t="n">
        <v>0.95</v>
      </c>
      <c r="C30" s="5" t="n">
        <v>6</v>
      </c>
      <c r="D30" s="5" t="n">
        <v>5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4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4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8" t="n">
        <f aca="false">IF(D30&gt;0,C30/D30,"")</f>
        <v>1.2</v>
      </c>
      <c r="U30" s="6" t="n">
        <f aca="false">IF(C30&gt;0,F30/C30,"")</f>
        <v>0</v>
      </c>
      <c r="V30" s="4" t="n">
        <f aca="false">IF(C30&gt;0,B30/C30*1000,"")</f>
        <v>158.333333333333</v>
      </c>
      <c r="W30" s="4" t="str">
        <f aca="false">IF(F30&gt;0,B30/F30,"")</f>
        <v/>
      </c>
      <c r="X30" s="4" t="str">
        <f aca="false">IF(H30&gt;0,B30/H30,"")</f>
        <v/>
      </c>
      <c r="Y30" s="7" t="str">
        <f aca="false">IF(F30&gt;0,G30/F30,"")</f>
        <v/>
      </c>
      <c r="Z30" s="7" t="str">
        <f aca="false">IF(G30&gt;0,H30/G30,"")</f>
        <v/>
      </c>
      <c r="AA30" s="6" t="n">
        <f aca="false">IF(C30&gt;0,I30/C30,"")</f>
        <v>0.666666666666667</v>
      </c>
      <c r="AB30" s="7" t="n">
        <f aca="false">IF(C30&gt;0,N30/C30,"")</f>
        <v>0.666666666666667</v>
      </c>
      <c r="AC30" s="7" t="n">
        <f aca="false">IF(N30&gt;0,R30/N30,"")</f>
        <v>0</v>
      </c>
    </row>
    <row r="31" customFormat="false" ht="15" hidden="false" customHeight="false" outlineLevel="0" collapsed="false">
      <c r="A31" s="2" t="s">
        <v>96</v>
      </c>
      <c r="B31" s="4" t="n">
        <v>0.94</v>
      </c>
      <c r="C31" s="5" t="n">
        <v>13</v>
      </c>
      <c r="D31" s="5" t="n">
        <v>11</v>
      </c>
      <c r="E31" s="5" t="n">
        <v>1</v>
      </c>
      <c r="F31" s="5" t="n">
        <v>1</v>
      </c>
      <c r="G31" s="5" t="n">
        <v>0</v>
      </c>
      <c r="H31" s="5" t="n">
        <v>0</v>
      </c>
      <c r="I31" s="5" t="n">
        <v>6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5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8" t="n">
        <f aca="false">IF(D31&gt;0,C31/D31,"")</f>
        <v>1.18181818181818</v>
      </c>
      <c r="U31" s="6" t="n">
        <f aca="false">IF(C31&gt;0,F31/C31,"")</f>
        <v>0.0769230769230769</v>
      </c>
      <c r="V31" s="4" t="n">
        <f aca="false">IF(C31&gt;0,B31/C31*1000,"")</f>
        <v>72.3076923076923</v>
      </c>
      <c r="W31" s="4" t="n">
        <f aca="false">IF(F31&gt;0,B31/F31,"")</f>
        <v>0.94</v>
      </c>
      <c r="X31" s="4" t="str">
        <f aca="false">IF(H31&gt;0,B31/H31,"")</f>
        <v/>
      </c>
      <c r="Y31" s="7" t="n">
        <f aca="false">IF(F31&gt;0,G31/F31,"")</f>
        <v>0</v>
      </c>
      <c r="Z31" s="7" t="str">
        <f aca="false">IF(G31&gt;0,H31/G31,"")</f>
        <v/>
      </c>
      <c r="AA31" s="6" t="n">
        <f aca="false">IF(C31&gt;0,I31/C31,"")</f>
        <v>0.461538461538462</v>
      </c>
      <c r="AB31" s="7" t="n">
        <f aca="false">IF(C31&gt;0,N31/C31,"")</f>
        <v>0.384615384615385</v>
      </c>
      <c r="AC31" s="7" t="n">
        <f aca="false">IF(N31&gt;0,R31/N31,"")</f>
        <v>0</v>
      </c>
    </row>
    <row r="32" customFormat="false" ht="15" hidden="false" customHeight="false" outlineLevel="0" collapsed="false">
      <c r="A32" s="2" t="s">
        <v>97</v>
      </c>
      <c r="B32" s="4" t="n">
        <v>0.78</v>
      </c>
      <c r="C32" s="5" t="n">
        <v>15</v>
      </c>
      <c r="D32" s="5" t="n">
        <v>10</v>
      </c>
      <c r="E32" s="5" t="n">
        <v>2</v>
      </c>
      <c r="F32" s="5" t="n">
        <v>2</v>
      </c>
      <c r="G32" s="5" t="n">
        <v>0</v>
      </c>
      <c r="H32" s="5" t="n">
        <v>0</v>
      </c>
      <c r="I32" s="5" t="n">
        <v>6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4</v>
      </c>
      <c r="O32" s="5" t="n">
        <v>0</v>
      </c>
      <c r="P32" s="5" t="n">
        <v>0</v>
      </c>
      <c r="Q32" s="5" t="n">
        <v>0</v>
      </c>
      <c r="R32" s="5" t="n">
        <v>0</v>
      </c>
      <c r="S32" s="5" t="n">
        <v>0</v>
      </c>
      <c r="T32" s="8" t="n">
        <f aca="false">IF(D32&gt;0,C32/D32,"")</f>
        <v>1.5</v>
      </c>
      <c r="U32" s="6" t="n">
        <f aca="false">IF(C32&gt;0,F32/C32,"")</f>
        <v>0.133333333333333</v>
      </c>
      <c r="V32" s="4" t="n">
        <f aca="false">IF(C32&gt;0,B32/C32*1000,"")</f>
        <v>52</v>
      </c>
      <c r="W32" s="4" t="n">
        <f aca="false">IF(F32&gt;0,B32/F32,"")</f>
        <v>0.39</v>
      </c>
      <c r="X32" s="4" t="str">
        <f aca="false">IF(H32&gt;0,B32/H32,"")</f>
        <v/>
      </c>
      <c r="Y32" s="7" t="n">
        <f aca="false">IF(F32&gt;0,G32/F32,"")</f>
        <v>0</v>
      </c>
      <c r="Z32" s="7" t="str">
        <f aca="false">IF(G32&gt;0,H32/G32,"")</f>
        <v/>
      </c>
      <c r="AA32" s="6" t="n">
        <f aca="false">IF(C32&gt;0,I32/C32,"")</f>
        <v>0.4</v>
      </c>
      <c r="AB32" s="7" t="n">
        <f aca="false">IF(C32&gt;0,N32/C32,"")</f>
        <v>0.266666666666667</v>
      </c>
      <c r="AC32" s="7" t="n">
        <f aca="false">IF(N32&gt;0,R32/N32,"")</f>
        <v>0</v>
      </c>
    </row>
    <row r="33" customFormat="false" ht="15" hidden="false" customHeight="false" outlineLevel="0" collapsed="false">
      <c r="A33" s="2" t="s">
        <v>98</v>
      </c>
      <c r="B33" s="4" t="n">
        <v>0.75</v>
      </c>
      <c r="C33" s="5" t="n">
        <v>11</v>
      </c>
      <c r="D33" s="5" t="n">
        <v>10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4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4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8" t="n">
        <f aca="false">IF(D33&gt;0,C33/D33,"")</f>
        <v>1.1</v>
      </c>
      <c r="U33" s="6" t="n">
        <f aca="false">IF(C33&gt;0,F33/C33,"")</f>
        <v>0</v>
      </c>
      <c r="V33" s="4" t="n">
        <f aca="false">IF(C33&gt;0,B33/C33*1000,"")</f>
        <v>68.1818181818182</v>
      </c>
      <c r="W33" s="4" t="str">
        <f aca="false">IF(F33&gt;0,B33/F33,"")</f>
        <v/>
      </c>
      <c r="X33" s="4" t="str">
        <f aca="false">IF(H33&gt;0,B33/H33,"")</f>
        <v/>
      </c>
      <c r="Y33" s="7" t="str">
        <f aca="false">IF(F33&gt;0,G33/F33,"")</f>
        <v/>
      </c>
      <c r="Z33" s="7" t="str">
        <f aca="false">IF(G33&gt;0,H33/G33,"")</f>
        <v/>
      </c>
      <c r="AA33" s="6" t="n">
        <f aca="false">IF(C33&gt;0,I33/C33,"")</f>
        <v>0.363636363636364</v>
      </c>
      <c r="AB33" s="7" t="n">
        <f aca="false">IF(C33&gt;0,N33/C33,"")</f>
        <v>0.363636363636364</v>
      </c>
      <c r="AC33" s="7" t="n">
        <f aca="false">IF(N33&gt;0,R33/N33,"")</f>
        <v>0</v>
      </c>
    </row>
    <row r="34" customFormat="false" ht="15" hidden="false" customHeight="false" outlineLevel="0" collapsed="false">
      <c r="A34" s="2" t="s">
        <v>99</v>
      </c>
      <c r="B34" s="4" t="n">
        <v>0.58</v>
      </c>
      <c r="C34" s="5" t="n">
        <v>16</v>
      </c>
      <c r="D34" s="5" t="n">
        <v>14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7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7</v>
      </c>
      <c r="O34" s="5" t="n">
        <v>0</v>
      </c>
      <c r="P34" s="5" t="n">
        <v>0</v>
      </c>
      <c r="Q34" s="5" t="n">
        <v>0</v>
      </c>
      <c r="R34" s="5" t="n">
        <v>0</v>
      </c>
      <c r="S34" s="5" t="n">
        <v>0</v>
      </c>
      <c r="T34" s="8" t="n">
        <f aca="false">IF(D34&gt;0,C34/D34,"")</f>
        <v>1.14285714285714</v>
      </c>
      <c r="U34" s="6" t="n">
        <f aca="false">IF(C34&gt;0,F34/C34,"")</f>
        <v>0</v>
      </c>
      <c r="V34" s="4" t="n">
        <f aca="false">IF(C34&gt;0,B34/C34*1000,"")</f>
        <v>36.25</v>
      </c>
      <c r="W34" s="4" t="str">
        <f aca="false">IF(F34&gt;0,B34/F34,"")</f>
        <v/>
      </c>
      <c r="X34" s="4" t="str">
        <f aca="false">IF(H34&gt;0,B34/H34,"")</f>
        <v/>
      </c>
      <c r="Y34" s="7" t="str">
        <f aca="false">IF(F34&gt;0,G34/F34,"")</f>
        <v/>
      </c>
      <c r="Z34" s="7" t="str">
        <f aca="false">IF(G34&gt;0,H34/G34,"")</f>
        <v/>
      </c>
      <c r="AA34" s="6" t="n">
        <f aca="false">IF(C34&gt;0,I34/C34,"")</f>
        <v>0.4375</v>
      </c>
      <c r="AB34" s="7" t="n">
        <f aca="false">IF(C34&gt;0,N34/C34,"")</f>
        <v>0.4375</v>
      </c>
      <c r="AC34" s="7" t="n">
        <f aca="false">IF(N34&gt;0,R34/N34,"")</f>
        <v>0</v>
      </c>
    </row>
    <row r="35" customFormat="false" ht="15" hidden="false" customHeight="false" outlineLevel="0" collapsed="false">
      <c r="A35" s="2" t="s">
        <v>100</v>
      </c>
      <c r="B35" s="4" t="n">
        <v>0.53</v>
      </c>
      <c r="C35" s="5" t="n">
        <v>5</v>
      </c>
      <c r="D35" s="5" t="n">
        <v>3</v>
      </c>
      <c r="E35" s="5" t="n">
        <v>1</v>
      </c>
      <c r="F35" s="5" t="n">
        <v>1</v>
      </c>
      <c r="G35" s="5" t="n">
        <v>0</v>
      </c>
      <c r="H35" s="5" t="n">
        <v>0</v>
      </c>
      <c r="I35" s="5" t="n">
        <v>4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3</v>
      </c>
      <c r="O35" s="5" t="n">
        <v>0</v>
      </c>
      <c r="P35" s="5" t="n">
        <v>0</v>
      </c>
      <c r="Q35" s="5" t="n">
        <v>0</v>
      </c>
      <c r="R35" s="5" t="n">
        <v>0</v>
      </c>
      <c r="S35" s="5" t="n">
        <v>0</v>
      </c>
      <c r="T35" s="8" t="n">
        <f aca="false">IF(D35&gt;0,C35/D35,"")</f>
        <v>1.66666666666667</v>
      </c>
      <c r="U35" s="6" t="n">
        <f aca="false">IF(C35&gt;0,F35/C35,"")</f>
        <v>0.2</v>
      </c>
      <c r="V35" s="4" t="n">
        <f aca="false">IF(C35&gt;0,B35/C35*1000,"")</f>
        <v>106</v>
      </c>
      <c r="W35" s="4" t="n">
        <f aca="false">IF(F35&gt;0,B35/F35,"")</f>
        <v>0.53</v>
      </c>
      <c r="X35" s="4" t="str">
        <f aca="false">IF(H35&gt;0,B35/H35,"")</f>
        <v/>
      </c>
      <c r="Y35" s="7" t="n">
        <f aca="false">IF(F35&gt;0,G35/F35,"")</f>
        <v>0</v>
      </c>
      <c r="Z35" s="7" t="str">
        <f aca="false">IF(G35&gt;0,H35/G35,"")</f>
        <v/>
      </c>
      <c r="AA35" s="6" t="n">
        <f aca="false">IF(C35&gt;0,I35/C35,"")</f>
        <v>0.8</v>
      </c>
      <c r="AB35" s="7" t="n">
        <f aca="false">IF(C35&gt;0,N35/C35,"")</f>
        <v>0.6</v>
      </c>
      <c r="AC35" s="7" t="n">
        <f aca="false">IF(N35&gt;0,R35/N35,"")</f>
        <v>0</v>
      </c>
    </row>
    <row r="36" customFormat="false" ht="15" hidden="false" customHeight="false" outlineLevel="0" collapsed="false">
      <c r="A36" s="2" t="s">
        <v>101</v>
      </c>
      <c r="B36" s="4" t="n">
        <v>0.51</v>
      </c>
      <c r="C36" s="5" t="n">
        <v>7</v>
      </c>
      <c r="D36" s="5" t="n">
        <v>6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2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2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8" t="n">
        <f aca="false">IF(D36&gt;0,C36/D36,"")</f>
        <v>1.16666666666667</v>
      </c>
      <c r="U36" s="6" t="n">
        <f aca="false">IF(C36&gt;0,F36/C36,"")</f>
        <v>0</v>
      </c>
      <c r="V36" s="4" t="n">
        <f aca="false">IF(C36&gt;0,B36/C36*1000,"")</f>
        <v>72.8571428571429</v>
      </c>
      <c r="W36" s="4" t="str">
        <f aca="false">IF(F36&gt;0,B36/F36,"")</f>
        <v/>
      </c>
      <c r="X36" s="4" t="str">
        <f aca="false">IF(H36&gt;0,B36/H36,"")</f>
        <v/>
      </c>
      <c r="Y36" s="7" t="str">
        <f aca="false">IF(F36&gt;0,G36/F36,"")</f>
        <v/>
      </c>
      <c r="Z36" s="7" t="str">
        <f aca="false">IF(G36&gt;0,H36/G36,"")</f>
        <v/>
      </c>
      <c r="AA36" s="6" t="n">
        <f aca="false">IF(C36&gt;0,I36/C36,"")</f>
        <v>0.285714285714286</v>
      </c>
      <c r="AB36" s="7" t="n">
        <f aca="false">IF(C36&gt;0,N36/C36,"")</f>
        <v>0.285714285714286</v>
      </c>
      <c r="AC36" s="7" t="n">
        <f aca="false">IF(N36&gt;0,R36/N36,"")</f>
        <v>0</v>
      </c>
    </row>
    <row r="37" customFormat="false" ht="15" hidden="false" customHeight="false" outlineLevel="0" collapsed="false">
      <c r="A37" s="2" t="s">
        <v>102</v>
      </c>
      <c r="B37" s="4" t="n">
        <v>0.48</v>
      </c>
      <c r="C37" s="5" t="n">
        <v>8</v>
      </c>
      <c r="D37" s="5" t="n">
        <v>8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4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4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8" t="n">
        <f aca="false">IF(D37&gt;0,C37/D37,"")</f>
        <v>1</v>
      </c>
      <c r="U37" s="6" t="n">
        <f aca="false">IF(C37&gt;0,F37/C37,"")</f>
        <v>0</v>
      </c>
      <c r="V37" s="4" t="n">
        <f aca="false">IF(C37&gt;0,B37/C37*1000,"")</f>
        <v>60</v>
      </c>
      <c r="W37" s="4" t="str">
        <f aca="false">IF(F37&gt;0,B37/F37,"")</f>
        <v/>
      </c>
      <c r="X37" s="4" t="str">
        <f aca="false">IF(H37&gt;0,B37/H37,"")</f>
        <v/>
      </c>
      <c r="Y37" s="7" t="str">
        <f aca="false">IF(F37&gt;0,G37/F37,"")</f>
        <v/>
      </c>
      <c r="Z37" s="7" t="str">
        <f aca="false">IF(G37&gt;0,H37/G37,"")</f>
        <v/>
      </c>
      <c r="AA37" s="6" t="n">
        <f aca="false">IF(C37&gt;0,I37/C37,"")</f>
        <v>0.5</v>
      </c>
      <c r="AB37" s="7" t="n">
        <f aca="false">IF(C37&gt;0,N37/C37,"")</f>
        <v>0.5</v>
      </c>
      <c r="AC37" s="7" t="n">
        <f aca="false">IF(N37&gt;0,R37/N37,"")</f>
        <v>0</v>
      </c>
    </row>
    <row r="38" customFormat="false" ht="15" hidden="false" customHeight="false" outlineLevel="0" collapsed="false">
      <c r="A38" s="2" t="s">
        <v>103</v>
      </c>
      <c r="B38" s="4" t="n">
        <v>0.43</v>
      </c>
      <c r="C38" s="5" t="n">
        <v>7</v>
      </c>
      <c r="D38" s="5" t="n">
        <v>7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2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2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8" t="n">
        <f aca="false">IF(D38&gt;0,C38/D38,"")</f>
        <v>1</v>
      </c>
      <c r="U38" s="6" t="n">
        <f aca="false">IF(C38&gt;0,F38/C38,"")</f>
        <v>0</v>
      </c>
      <c r="V38" s="4" t="n">
        <f aca="false">IF(C38&gt;0,B38/C38*1000,"")</f>
        <v>61.4285714285714</v>
      </c>
      <c r="W38" s="4" t="str">
        <f aca="false">IF(F38&gt;0,B38/F38,"")</f>
        <v/>
      </c>
      <c r="X38" s="4" t="str">
        <f aca="false">IF(H38&gt;0,B38/H38,"")</f>
        <v/>
      </c>
      <c r="Y38" s="7" t="str">
        <f aca="false">IF(F38&gt;0,G38/F38,"")</f>
        <v/>
      </c>
      <c r="Z38" s="7" t="str">
        <f aca="false">IF(G38&gt;0,H38/G38,"")</f>
        <v/>
      </c>
      <c r="AA38" s="6" t="n">
        <f aca="false">IF(C38&gt;0,I38/C38,"")</f>
        <v>0.285714285714286</v>
      </c>
      <c r="AB38" s="7" t="n">
        <f aca="false">IF(C38&gt;0,N38/C38,"")</f>
        <v>0.285714285714286</v>
      </c>
      <c r="AC38" s="7" t="n">
        <f aca="false">IF(N38&gt;0,R38/N38,"")</f>
        <v>0</v>
      </c>
    </row>
    <row r="39" customFormat="false" ht="15" hidden="false" customHeight="false" outlineLevel="0" collapsed="false">
      <c r="A39" s="2" t="s">
        <v>104</v>
      </c>
      <c r="B39" s="4" t="n">
        <v>0.42</v>
      </c>
      <c r="C39" s="5" t="n">
        <v>3</v>
      </c>
      <c r="D39" s="5" t="n">
        <v>2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8" t="n">
        <f aca="false">IF(D39&gt;0,C39/D39,"")</f>
        <v>1.5</v>
      </c>
      <c r="U39" s="6" t="n">
        <f aca="false">IF(C39&gt;0,F39/C39,"")</f>
        <v>0</v>
      </c>
      <c r="V39" s="4" t="n">
        <f aca="false">IF(C39&gt;0,B39/C39*1000,"")</f>
        <v>140</v>
      </c>
      <c r="W39" s="4" t="str">
        <f aca="false">IF(F39&gt;0,B39/F39,"")</f>
        <v/>
      </c>
      <c r="X39" s="4" t="str">
        <f aca="false">IF(H39&gt;0,B39/H39,"")</f>
        <v/>
      </c>
      <c r="Y39" s="7" t="str">
        <f aca="false">IF(F39&gt;0,G39/F39,"")</f>
        <v/>
      </c>
      <c r="Z39" s="7" t="str">
        <f aca="false">IF(G39&gt;0,H39/G39,"")</f>
        <v/>
      </c>
      <c r="AA39" s="6" t="n">
        <f aca="false">IF(C39&gt;0,I39/C39,"")</f>
        <v>0.333333333333333</v>
      </c>
      <c r="AB39" s="7" t="n">
        <f aca="false">IF(C39&gt;0,N39/C39,"")</f>
        <v>0.333333333333333</v>
      </c>
      <c r="AC39" s="7" t="n">
        <f aca="false">IF(N39&gt;0,R39/N39,"")</f>
        <v>0</v>
      </c>
    </row>
    <row r="40" customFormat="false" ht="15" hidden="false" customHeight="false" outlineLevel="0" collapsed="false">
      <c r="A40" s="2" t="s">
        <v>105</v>
      </c>
      <c r="B40" s="4" t="n">
        <v>0.37</v>
      </c>
      <c r="C40" s="5" t="n">
        <v>7</v>
      </c>
      <c r="D40" s="5" t="n">
        <v>5</v>
      </c>
      <c r="E40" s="5" t="n">
        <v>0</v>
      </c>
      <c r="F40" s="5" t="n">
        <v>0</v>
      </c>
      <c r="G40" s="5" t="n">
        <v>0</v>
      </c>
      <c r="H40" s="5" t="n">
        <v>0</v>
      </c>
      <c r="I40" s="5" t="n">
        <v>3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3</v>
      </c>
      <c r="O40" s="5" t="n">
        <v>0</v>
      </c>
      <c r="P40" s="5" t="n">
        <v>0</v>
      </c>
      <c r="Q40" s="5" t="n">
        <v>0</v>
      </c>
      <c r="R40" s="5" t="n">
        <v>0</v>
      </c>
      <c r="S40" s="5" t="n">
        <v>0</v>
      </c>
      <c r="T40" s="8" t="n">
        <f aca="false">IF(D40&gt;0,C40/D40,"")</f>
        <v>1.4</v>
      </c>
      <c r="U40" s="6" t="n">
        <f aca="false">IF(C40&gt;0,F40/C40,"")</f>
        <v>0</v>
      </c>
      <c r="V40" s="4" t="n">
        <f aca="false">IF(C40&gt;0,B40/C40*1000,"")</f>
        <v>52.8571428571429</v>
      </c>
      <c r="W40" s="4" t="str">
        <f aca="false">IF(F40&gt;0,B40/F40,"")</f>
        <v/>
      </c>
      <c r="X40" s="4" t="str">
        <f aca="false">IF(H40&gt;0,B40/H40,"")</f>
        <v/>
      </c>
      <c r="Y40" s="7" t="str">
        <f aca="false">IF(F40&gt;0,G40/F40,"")</f>
        <v/>
      </c>
      <c r="Z40" s="7" t="str">
        <f aca="false">IF(G40&gt;0,H40/G40,"")</f>
        <v/>
      </c>
      <c r="AA40" s="6" t="n">
        <f aca="false">IF(C40&gt;0,I40/C40,"")</f>
        <v>0.428571428571429</v>
      </c>
      <c r="AB40" s="7" t="n">
        <f aca="false">IF(C40&gt;0,N40/C40,"")</f>
        <v>0.428571428571429</v>
      </c>
      <c r="AC40" s="7" t="n">
        <f aca="false">IF(N40&gt;0,R40/N40,"")</f>
        <v>0</v>
      </c>
    </row>
    <row r="41" customFormat="false" ht="15" hidden="false" customHeight="false" outlineLevel="0" collapsed="false">
      <c r="A41" s="2" t="s">
        <v>106</v>
      </c>
      <c r="B41" s="4" t="n">
        <v>0.28</v>
      </c>
      <c r="C41" s="5" t="n">
        <v>11</v>
      </c>
      <c r="D41" s="5" t="n">
        <v>9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3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3</v>
      </c>
      <c r="O41" s="5" t="n">
        <v>0</v>
      </c>
      <c r="P41" s="5" t="n">
        <v>0</v>
      </c>
      <c r="Q41" s="5" t="n">
        <v>0</v>
      </c>
      <c r="R41" s="5" t="n">
        <v>0</v>
      </c>
      <c r="S41" s="5" t="n">
        <v>0</v>
      </c>
      <c r="T41" s="8" t="n">
        <f aca="false">IF(D41&gt;0,C41/D41,"")</f>
        <v>1.22222222222222</v>
      </c>
      <c r="U41" s="6" t="n">
        <f aca="false">IF(C41&gt;0,F41/C41,"")</f>
        <v>0</v>
      </c>
      <c r="V41" s="4" t="n">
        <f aca="false">IF(C41&gt;0,B41/C41*1000,"")</f>
        <v>25.4545454545455</v>
      </c>
      <c r="W41" s="4" t="str">
        <f aca="false">IF(F41&gt;0,B41/F41,"")</f>
        <v/>
      </c>
      <c r="X41" s="4" t="str">
        <f aca="false">IF(H41&gt;0,B41/H41,"")</f>
        <v/>
      </c>
      <c r="Y41" s="7" t="str">
        <f aca="false">IF(F41&gt;0,G41/F41,"")</f>
        <v/>
      </c>
      <c r="Z41" s="7" t="str">
        <f aca="false">IF(G41&gt;0,H41/G41,"")</f>
        <v/>
      </c>
      <c r="AA41" s="6" t="n">
        <f aca="false">IF(C41&gt;0,I41/C41,"")</f>
        <v>0.272727272727273</v>
      </c>
      <c r="AB41" s="7" t="n">
        <f aca="false">IF(C41&gt;0,N41/C41,"")</f>
        <v>0.272727272727273</v>
      </c>
      <c r="AC41" s="7" t="n">
        <f aca="false">IF(N41&gt;0,R41/N41,"")</f>
        <v>0</v>
      </c>
    </row>
    <row r="42" customFormat="false" ht="15" hidden="false" customHeight="false" outlineLevel="0" collapsed="false">
      <c r="A42" s="2" t="s">
        <v>107</v>
      </c>
      <c r="B42" s="4" t="n">
        <v>0.25</v>
      </c>
      <c r="C42" s="5" t="n">
        <v>4</v>
      </c>
      <c r="D42" s="5" t="n">
        <v>2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2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2</v>
      </c>
      <c r="O42" s="5" t="n">
        <v>0</v>
      </c>
      <c r="P42" s="5" t="n">
        <v>0</v>
      </c>
      <c r="Q42" s="5" t="n">
        <v>0</v>
      </c>
      <c r="R42" s="5" t="n">
        <v>0</v>
      </c>
      <c r="S42" s="5" t="n">
        <v>0</v>
      </c>
      <c r="T42" s="8" t="n">
        <f aca="false">IF(D42&gt;0,C42/D42,"")</f>
        <v>2</v>
      </c>
      <c r="U42" s="6" t="n">
        <f aca="false">IF(C42&gt;0,F42/C42,"")</f>
        <v>0</v>
      </c>
      <c r="V42" s="4" t="n">
        <f aca="false">IF(C42&gt;0,B42/C42*1000,"")</f>
        <v>62.5</v>
      </c>
      <c r="W42" s="4" t="str">
        <f aca="false">IF(F42&gt;0,B42/F42,"")</f>
        <v/>
      </c>
      <c r="X42" s="4" t="str">
        <f aca="false">IF(H42&gt;0,B42/H42,"")</f>
        <v/>
      </c>
      <c r="Y42" s="7" t="str">
        <f aca="false">IF(F42&gt;0,G42/F42,"")</f>
        <v/>
      </c>
      <c r="Z42" s="7" t="str">
        <f aca="false">IF(G42&gt;0,H42/G42,"")</f>
        <v/>
      </c>
      <c r="AA42" s="6" t="n">
        <f aca="false">IF(C42&gt;0,I42/C42,"")</f>
        <v>0.5</v>
      </c>
      <c r="AB42" s="7" t="n">
        <f aca="false">IF(C42&gt;0,N42/C42,"")</f>
        <v>0.5</v>
      </c>
      <c r="AC42" s="7" t="n">
        <f aca="false">IF(N42&gt;0,R42/N42,"")</f>
        <v>0</v>
      </c>
    </row>
    <row r="43" customFormat="false" ht="15" hidden="false" customHeight="false" outlineLevel="0" collapsed="false">
      <c r="A43" s="2" t="s">
        <v>108</v>
      </c>
      <c r="B43" s="4" t="n">
        <v>0.16</v>
      </c>
      <c r="C43" s="5" t="n">
        <v>6</v>
      </c>
      <c r="D43" s="5" t="n">
        <v>5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4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4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8" t="n">
        <f aca="false">IF(D43&gt;0,C43/D43,"")</f>
        <v>1.2</v>
      </c>
      <c r="U43" s="6" t="n">
        <f aca="false">IF(C43&gt;0,F43/C43,"")</f>
        <v>0</v>
      </c>
      <c r="V43" s="4" t="n">
        <f aca="false">IF(C43&gt;0,B43/C43*1000,"")</f>
        <v>26.6666666666667</v>
      </c>
      <c r="W43" s="4" t="str">
        <f aca="false">IF(F43&gt;0,B43/F43,"")</f>
        <v/>
      </c>
      <c r="X43" s="4" t="str">
        <f aca="false">IF(H43&gt;0,B43/H43,"")</f>
        <v/>
      </c>
      <c r="Y43" s="7" t="str">
        <f aca="false">IF(F43&gt;0,G43/F43,"")</f>
        <v/>
      </c>
      <c r="Z43" s="7" t="str">
        <f aca="false">IF(G43&gt;0,H43/G43,"")</f>
        <v/>
      </c>
      <c r="AA43" s="6" t="n">
        <f aca="false">IF(C43&gt;0,I43/C43,"")</f>
        <v>0.666666666666667</v>
      </c>
      <c r="AB43" s="7" t="n">
        <f aca="false">IF(C43&gt;0,N43/C43,"")</f>
        <v>0.666666666666667</v>
      </c>
      <c r="AC43" s="7" t="n">
        <f aca="false">IF(N43&gt;0,R43/N43,"")</f>
        <v>0</v>
      </c>
    </row>
    <row r="44" customFormat="false" ht="15" hidden="false" customHeight="false" outlineLevel="0" collapsed="false">
      <c r="A44" s="2" t="s">
        <v>109</v>
      </c>
      <c r="B44" s="4" t="n">
        <v>0.15</v>
      </c>
      <c r="C44" s="5" t="n">
        <v>5</v>
      </c>
      <c r="D44" s="5" t="n">
        <v>3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8" t="n">
        <f aca="false">IF(D44&gt;0,C44/D44,"")</f>
        <v>1.66666666666667</v>
      </c>
      <c r="U44" s="6" t="n">
        <f aca="false">IF(C44&gt;0,F44/C44,"")</f>
        <v>0</v>
      </c>
      <c r="V44" s="4" t="n">
        <f aca="false">IF(C44&gt;0,B44/C44*1000,"")</f>
        <v>30</v>
      </c>
      <c r="W44" s="4" t="str">
        <f aca="false">IF(F44&gt;0,B44/F44,"")</f>
        <v/>
      </c>
      <c r="X44" s="4" t="str">
        <f aca="false">IF(H44&gt;0,B44/H44,"")</f>
        <v/>
      </c>
      <c r="Y44" s="7" t="str">
        <f aca="false">IF(F44&gt;0,G44/F44,"")</f>
        <v/>
      </c>
      <c r="Z44" s="7" t="str">
        <f aca="false">IF(G44&gt;0,H44/G44,"")</f>
        <v/>
      </c>
      <c r="AA44" s="6" t="n">
        <f aca="false">IF(C44&gt;0,I44/C44,"")</f>
        <v>0</v>
      </c>
      <c r="AB44" s="7" t="n">
        <f aca="false">IF(C44&gt;0,N44/C44,"")</f>
        <v>0</v>
      </c>
      <c r="AC44" s="7" t="str">
        <f aca="false">IF(N44&gt;0,R44/N44,"")</f>
        <v/>
      </c>
    </row>
    <row r="45" customFormat="false" ht="15" hidden="false" customHeight="false" outlineLevel="0" collapsed="false">
      <c r="A45" s="2" t="s">
        <v>110</v>
      </c>
      <c r="B45" s="4" t="n">
        <v>0.14</v>
      </c>
      <c r="C45" s="5" t="n">
        <v>4</v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4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4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8" t="n">
        <f aca="false">IF(D45&gt;0,C45/D45,"")</f>
        <v>1.33333333333333</v>
      </c>
      <c r="U45" s="6" t="n">
        <f aca="false">IF(C45&gt;0,F45/C45,"")</f>
        <v>0</v>
      </c>
      <c r="V45" s="4" t="n">
        <f aca="false">IF(C45&gt;0,B45/C45*1000,"")</f>
        <v>35</v>
      </c>
      <c r="W45" s="4" t="str">
        <f aca="false">IF(F45&gt;0,B45/F45,"")</f>
        <v/>
      </c>
      <c r="X45" s="4" t="str">
        <f aca="false">IF(H45&gt;0,B45/H45,"")</f>
        <v/>
      </c>
      <c r="Y45" s="7" t="str">
        <f aca="false">IF(F45&gt;0,G45/F45,"")</f>
        <v/>
      </c>
      <c r="Z45" s="7" t="str">
        <f aca="false">IF(G45&gt;0,H45/G45,"")</f>
        <v/>
      </c>
      <c r="AA45" s="6" t="n">
        <f aca="false">IF(C45&gt;0,I45/C45,"")</f>
        <v>1</v>
      </c>
      <c r="AB45" s="7" t="n">
        <f aca="false">IF(C45&gt;0,N45/C45,"")</f>
        <v>1</v>
      </c>
      <c r="AC45" s="7" t="n">
        <f aca="false">IF(N45&gt;0,R45/N45,"")</f>
        <v>0</v>
      </c>
    </row>
    <row r="46" customFormat="false" ht="15" hidden="false" customHeight="false" outlineLevel="0" collapsed="false">
      <c r="A46" s="2" t="s">
        <v>111</v>
      </c>
      <c r="B46" s="4" t="n">
        <v>0.12</v>
      </c>
      <c r="C46" s="5" t="n">
        <v>3</v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8" t="n">
        <f aca="false">IF(D46&gt;0,C46/D46,"")</f>
        <v>1</v>
      </c>
      <c r="U46" s="6" t="n">
        <f aca="false">IF(C46&gt;0,F46/C46,"")</f>
        <v>0</v>
      </c>
      <c r="V46" s="4" t="n">
        <f aca="false">IF(C46&gt;0,B46/C46*1000,"")</f>
        <v>40</v>
      </c>
      <c r="W46" s="4" t="str">
        <f aca="false">IF(F46&gt;0,B46/F46,"")</f>
        <v/>
      </c>
      <c r="X46" s="4" t="str">
        <f aca="false">IF(H46&gt;0,B46/H46,"")</f>
        <v/>
      </c>
      <c r="Y46" s="7" t="str">
        <f aca="false">IF(F46&gt;0,G46/F46,"")</f>
        <v/>
      </c>
      <c r="Z46" s="7" t="str">
        <f aca="false">IF(G46&gt;0,H46/G46,"")</f>
        <v/>
      </c>
      <c r="AA46" s="6" t="n">
        <f aca="false">IF(C46&gt;0,I46/C46,"")</f>
        <v>0.333333333333333</v>
      </c>
      <c r="AB46" s="7" t="n">
        <f aca="false">IF(C46&gt;0,N46/C46,"")</f>
        <v>0.333333333333333</v>
      </c>
      <c r="AC46" s="7" t="n">
        <f aca="false">IF(N46&gt;0,R46/N46,"")</f>
        <v>0</v>
      </c>
    </row>
    <row r="47" customFormat="false" ht="15" hidden="false" customHeight="false" outlineLevel="0" collapsed="false">
      <c r="A47" s="2" t="s">
        <v>112</v>
      </c>
      <c r="B47" s="4" t="n">
        <v>0.09</v>
      </c>
      <c r="C47" s="5" t="n">
        <v>4</v>
      </c>
      <c r="D47" s="5" t="n">
        <v>4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1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8" t="n">
        <f aca="false">IF(D47&gt;0,C47/D47,"")</f>
        <v>1</v>
      </c>
      <c r="U47" s="6" t="n">
        <f aca="false">IF(C47&gt;0,F47/C47,"")</f>
        <v>0</v>
      </c>
      <c r="V47" s="4" t="n">
        <f aca="false">IF(C47&gt;0,B47/C47*1000,"")</f>
        <v>22.5</v>
      </c>
      <c r="W47" s="4" t="str">
        <f aca="false">IF(F47&gt;0,B47/F47,"")</f>
        <v/>
      </c>
      <c r="X47" s="4" t="str">
        <f aca="false">IF(H47&gt;0,B47/H47,"")</f>
        <v/>
      </c>
      <c r="Y47" s="7" t="str">
        <f aca="false">IF(F47&gt;0,G47/F47,"")</f>
        <v/>
      </c>
      <c r="Z47" s="7" t="str">
        <f aca="false">IF(G47&gt;0,H47/G47,"")</f>
        <v/>
      </c>
      <c r="AA47" s="6" t="n">
        <f aca="false">IF(C47&gt;0,I47/C47,"")</f>
        <v>0.25</v>
      </c>
      <c r="AB47" s="7" t="n">
        <f aca="false">IF(C47&gt;0,N47/C47,"")</f>
        <v>0.25</v>
      </c>
      <c r="AC47" s="7" t="n">
        <f aca="false">IF(N47&gt;0,R47/N47,"")</f>
        <v>0</v>
      </c>
    </row>
    <row r="48" customFormat="false" ht="15" hidden="false" customHeight="false" outlineLevel="0" collapsed="false">
      <c r="A48" s="2" t="s">
        <v>113</v>
      </c>
      <c r="B48" s="4" t="n">
        <v>0.05</v>
      </c>
      <c r="C48" s="5" t="n">
        <v>2</v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8" t="n">
        <f aca="false">IF(D48&gt;0,C48/D48,"")</f>
        <v>2</v>
      </c>
      <c r="U48" s="6" t="n">
        <f aca="false">IF(C48&gt;0,F48/C48,"")</f>
        <v>0</v>
      </c>
      <c r="V48" s="4" t="n">
        <f aca="false">IF(C48&gt;0,B48/C48*1000,"")</f>
        <v>25</v>
      </c>
      <c r="W48" s="4" t="str">
        <f aca="false">IF(F48&gt;0,B48/F48,"")</f>
        <v/>
      </c>
      <c r="X48" s="4" t="str">
        <f aca="false">IF(H48&gt;0,B48/H48,"")</f>
        <v/>
      </c>
      <c r="Y48" s="7" t="str">
        <f aca="false">IF(F48&gt;0,G48/F48,"")</f>
        <v/>
      </c>
      <c r="Z48" s="7" t="str">
        <f aca="false">IF(G48&gt;0,H48/G48,"")</f>
        <v/>
      </c>
      <c r="AA48" s="6" t="n">
        <f aca="false">IF(C48&gt;0,I48/C48,"")</f>
        <v>0.5</v>
      </c>
      <c r="AB48" s="7" t="n">
        <f aca="false">IF(C48&gt;0,N48/C48,"")</f>
        <v>0.5</v>
      </c>
      <c r="AC48" s="7" t="n">
        <f aca="false">IF(N48&gt;0,R48/N48,"")</f>
        <v>0</v>
      </c>
    </row>
    <row r="49" customFormat="false" ht="15" hidden="false" customHeight="false" outlineLevel="0" collapsed="false">
      <c r="A49" s="2" t="s">
        <v>114</v>
      </c>
      <c r="B49" s="4" t="n">
        <v>0.02</v>
      </c>
      <c r="C49" s="5" t="n">
        <v>2</v>
      </c>
      <c r="D49" s="5" t="n">
        <v>2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8" t="n">
        <f aca="false">IF(D49&gt;0,C49/D49,"")</f>
        <v>1</v>
      </c>
      <c r="U49" s="6" t="n">
        <f aca="false">IF(C49&gt;0,F49/C49,"")</f>
        <v>0</v>
      </c>
      <c r="V49" s="4" t="n">
        <f aca="false">IF(C49&gt;0,B49/C49*1000,"")</f>
        <v>10</v>
      </c>
      <c r="W49" s="4" t="str">
        <f aca="false">IF(F49&gt;0,B49/F49,"")</f>
        <v/>
      </c>
      <c r="X49" s="4" t="str">
        <f aca="false">IF(H49&gt;0,B49/H49,"")</f>
        <v/>
      </c>
      <c r="Y49" s="7" t="str">
        <f aca="false">IF(F49&gt;0,G49/F49,"")</f>
        <v/>
      </c>
      <c r="Z49" s="7" t="str">
        <f aca="false">IF(G49&gt;0,H49/G49,"")</f>
        <v/>
      </c>
      <c r="AA49" s="6" t="n">
        <f aca="false">IF(C49&gt;0,I49/C49,"")</f>
        <v>0.5</v>
      </c>
      <c r="AB49" s="7" t="n">
        <f aca="false">IF(C49&gt;0,N49/C49,"")</f>
        <v>0.5</v>
      </c>
      <c r="AC49" s="7" t="n">
        <f aca="false">IF(N49&gt;0,R49/N49,"")</f>
        <v>0</v>
      </c>
    </row>
    <row r="50" customFormat="false" ht="15" hidden="false" customHeight="false" outlineLevel="0" collapsed="false">
      <c r="A50" s="2" t="s">
        <v>115</v>
      </c>
      <c r="B50" s="4" t="n">
        <v>0.02</v>
      </c>
      <c r="C50" s="5" t="n">
        <v>1</v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8" t="n">
        <f aca="false">IF(D50&gt;0,C50/D50,"")</f>
        <v>1</v>
      </c>
      <c r="U50" s="6" t="n">
        <f aca="false">IF(C50&gt;0,F50/C50,"")</f>
        <v>0</v>
      </c>
      <c r="V50" s="4" t="n">
        <f aca="false">IF(C50&gt;0,B50/C50*1000,"")</f>
        <v>20</v>
      </c>
      <c r="W50" s="4" t="str">
        <f aca="false">IF(F50&gt;0,B50/F50,"")</f>
        <v/>
      </c>
      <c r="X50" s="4" t="str">
        <f aca="false">IF(H50&gt;0,B50/H50,"")</f>
        <v/>
      </c>
      <c r="Y50" s="7" t="str">
        <f aca="false">IF(F50&gt;0,G50/F50,"")</f>
        <v/>
      </c>
      <c r="Z50" s="7" t="str">
        <f aca="false">IF(G50&gt;0,H50/G50,"")</f>
        <v/>
      </c>
      <c r="AA50" s="6" t="n">
        <f aca="false">IF(C50&gt;0,I50/C50,"")</f>
        <v>0</v>
      </c>
      <c r="AB50" s="7" t="n">
        <f aca="false">IF(C50&gt;0,N50/C50,"")</f>
        <v>0</v>
      </c>
      <c r="AC50" s="7" t="str">
        <f aca="false">IF(N50&gt;0,R50/N50,"")</f>
        <v/>
      </c>
    </row>
    <row r="51" customFormat="false" ht="15" hidden="false" customHeight="false" outlineLevel="0" collapsed="false">
      <c r="A51" s="2" t="s">
        <v>116</v>
      </c>
      <c r="B51" s="4" t="n">
        <v>0.01</v>
      </c>
      <c r="C51" s="5" t="n">
        <v>1</v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8" t="n">
        <f aca="false">IF(D51&gt;0,C51/D51,"")</f>
        <v>1</v>
      </c>
      <c r="U51" s="6" t="n">
        <f aca="false">IF(C51&gt;0,F51/C51,"")</f>
        <v>0</v>
      </c>
      <c r="V51" s="4" t="n">
        <f aca="false">IF(C51&gt;0,B51/C51*1000,"")</f>
        <v>10</v>
      </c>
      <c r="W51" s="4" t="str">
        <f aca="false">IF(F51&gt;0,B51/F51,"")</f>
        <v/>
      </c>
      <c r="X51" s="4" t="str">
        <f aca="false">IF(H51&gt;0,B51/H51,"")</f>
        <v/>
      </c>
      <c r="Y51" s="7" t="str">
        <f aca="false">IF(F51&gt;0,G51/F51,"")</f>
        <v/>
      </c>
      <c r="Z51" s="7" t="str">
        <f aca="false">IF(G51&gt;0,H51/G51,"")</f>
        <v/>
      </c>
      <c r="AA51" s="6" t="n">
        <f aca="false">IF(C51&gt;0,I51/C51,"")</f>
        <v>0</v>
      </c>
      <c r="AB51" s="7" t="n">
        <f aca="false">IF(C51&gt;0,N51/C51,"")</f>
        <v>0</v>
      </c>
      <c r="AC51" s="7" t="str">
        <f aca="false">IF(N51&gt;0,R51/N51,"")</f>
        <v/>
      </c>
    </row>
    <row r="52" customFormat="false" ht="15" hidden="false" customHeight="false" outlineLevel="0" collapsed="false">
      <c r="A52" s="11" t="s">
        <v>46</v>
      </c>
      <c r="B52" s="12" t="n">
        <f aca="false">SUM(B2:B51)</f>
        <v>288.3</v>
      </c>
      <c r="C52" s="13" t="n">
        <f aca="false">SUM(C2:C51)</f>
        <v>4458</v>
      </c>
      <c r="D52" s="13"/>
      <c r="E52" s="13" t="n">
        <f aca="false">SUM(E2:E51)</f>
        <v>95</v>
      </c>
      <c r="F52" s="13" t="n">
        <f aca="false">SUM(F2:F51)</f>
        <v>68</v>
      </c>
      <c r="G52" s="13" t="n">
        <f aca="false">SUM(G2:G51)</f>
        <v>0</v>
      </c>
      <c r="H52" s="13" t="n">
        <f aca="false">SUM(H2:H51)</f>
        <v>0</v>
      </c>
      <c r="I52" s="13" t="n">
        <f aca="false">SUM(I2:I51)</f>
        <v>850</v>
      </c>
      <c r="J52" s="13" t="n">
        <f aca="false">SUM(J2:J51)</f>
        <v>20</v>
      </c>
      <c r="K52" s="13" t="n">
        <f aca="false">SUM(K2:K51)</f>
        <v>0</v>
      </c>
      <c r="L52" s="13" t="n">
        <f aca="false">SUM(L2:L51)</f>
        <v>3</v>
      </c>
      <c r="M52" s="13" t="n">
        <f aca="false">SUM(M2:M51)</f>
        <v>5</v>
      </c>
      <c r="N52" s="13" t="n">
        <f aca="false">SUM(N2:N51)</f>
        <v>754</v>
      </c>
      <c r="O52" s="13" t="n">
        <f aca="false">SUM(O2:O51)</f>
        <v>0</v>
      </c>
      <c r="P52" s="13" t="n">
        <f aca="false">SUM(P2:P51)</f>
        <v>0</v>
      </c>
      <c r="Q52" s="13" t="n">
        <f aca="false">SUM(Q2:Q51)</f>
        <v>0</v>
      </c>
      <c r="R52" s="13" t="n">
        <f aca="false">SUM(R2:R51)</f>
        <v>0</v>
      </c>
      <c r="S52" s="13" t="n">
        <f aca="false">SUM(S2:S51)</f>
        <v>0</v>
      </c>
      <c r="T52" s="14" t="str">
        <f aca="false">IF(D52&gt;0,C52/D52,"")</f>
        <v/>
      </c>
      <c r="U52" s="15" t="n">
        <f aca="false">IF(C52&gt;0,F52/C52,"")</f>
        <v>0.0152534768954688</v>
      </c>
      <c r="V52" s="12" t="n">
        <f aca="false">IF(C52&gt;0,B52/C52*1000,"")</f>
        <v>64.6702557200538</v>
      </c>
      <c r="W52" s="12" t="n">
        <f aca="false">IF(F52&gt;0,B52/F52,"")</f>
        <v>4.23970588235294</v>
      </c>
      <c r="X52" s="12" t="str">
        <f aca="false">IF(H52&gt;0,B52/H52,"")</f>
        <v/>
      </c>
      <c r="Y52" s="16" t="n">
        <f aca="false">IF(F52&gt;0,G52/F52,"")</f>
        <v>0</v>
      </c>
      <c r="Z52" s="16" t="str">
        <f aca="false">IF(G52&gt;0,H52/G52,"")</f>
        <v/>
      </c>
      <c r="AA52" s="15" t="n">
        <f aca="false">IF(C52&gt;0,I52/C52,"")</f>
        <v>0.19066846119336</v>
      </c>
      <c r="AB52" s="16" t="n">
        <f aca="false">IF(C52&gt;0,N52/C52,"")</f>
        <v>0.169134140870345</v>
      </c>
      <c r="AC52" s="16" t="n">
        <f aca="false">IF(N52&gt;0,R52/N52,"")</f>
        <v>0</v>
      </c>
    </row>
    <row r="54" customFormat="false" ht="15" hidden="false" customHeight="false" outlineLevel="0" collapsed="false">
      <c r="A54" s="17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0" min="3" style="0" width="13"/>
  </cols>
  <sheetData>
    <row r="1" customFormat="false" ht="31.5" hidden="false" customHeight="true" outlineLevel="0" collapsed="false">
      <c r="A1" s="10" t="s">
        <v>118</v>
      </c>
      <c r="B1" s="10" t="s">
        <v>119</v>
      </c>
      <c r="C1" s="10" t="s">
        <v>4</v>
      </c>
      <c r="D1" s="10" t="s">
        <v>5</v>
      </c>
      <c r="E1" s="10" t="s">
        <v>28</v>
      </c>
      <c r="F1" s="10" t="s">
        <v>29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10</v>
      </c>
      <c r="P1" s="10" t="s">
        <v>34</v>
      </c>
      <c r="Q1" s="10" t="s">
        <v>35</v>
      </c>
      <c r="R1" s="10" t="s">
        <v>36</v>
      </c>
      <c r="S1" s="10" t="s">
        <v>37</v>
      </c>
      <c r="T1" s="10" t="s">
        <v>11</v>
      </c>
      <c r="U1" s="10" t="s">
        <v>21</v>
      </c>
      <c r="V1" s="10" t="s">
        <v>12</v>
      </c>
      <c r="W1" s="10" t="s">
        <v>13</v>
      </c>
      <c r="X1" s="10" t="s">
        <v>14</v>
      </c>
      <c r="Y1" s="10" t="s">
        <v>15</v>
      </c>
      <c r="Z1" s="10" t="s">
        <v>16</v>
      </c>
      <c r="AA1" s="10" t="s">
        <v>17</v>
      </c>
      <c r="AB1" s="10" t="s">
        <v>38</v>
      </c>
      <c r="AC1" s="10" t="s">
        <v>18</v>
      </c>
      <c r="AD1" s="10" t="s">
        <v>19</v>
      </c>
    </row>
    <row r="2" customFormat="false" ht="15" hidden="false" customHeight="false" outlineLevel="0" collapsed="false">
      <c r="A2" s="2" t="s">
        <v>120</v>
      </c>
      <c r="B2" s="2" t="s">
        <v>121</v>
      </c>
      <c r="C2" s="4" t="n">
        <v>98.97</v>
      </c>
      <c r="D2" s="5" t="n">
        <v>1039</v>
      </c>
      <c r="E2" s="5" t="n">
        <v>762</v>
      </c>
      <c r="F2" s="5" t="n">
        <v>41</v>
      </c>
      <c r="G2" s="5" t="n">
        <v>33</v>
      </c>
      <c r="H2" s="5" t="n">
        <v>26</v>
      </c>
      <c r="I2" s="5" t="n">
        <v>1</v>
      </c>
      <c r="J2" s="5" t="n">
        <v>393</v>
      </c>
      <c r="K2" s="5" t="n">
        <v>7</v>
      </c>
      <c r="L2" s="5" t="n">
        <v>0</v>
      </c>
      <c r="M2" s="5" t="n">
        <v>1</v>
      </c>
      <c r="N2" s="5" t="n">
        <v>5</v>
      </c>
      <c r="O2" s="5" t="n">
        <v>347</v>
      </c>
      <c r="P2" s="5" t="n">
        <v>272</v>
      </c>
      <c r="Q2" s="5" t="n">
        <v>87</v>
      </c>
      <c r="R2" s="5" t="n">
        <v>44</v>
      </c>
      <c r="S2" s="5" t="n">
        <v>19</v>
      </c>
      <c r="T2" s="5" t="n">
        <v>21</v>
      </c>
      <c r="U2" s="8" t="n">
        <f aca="false">IF(E2&gt;0,D2/E2,"")</f>
        <v>1.36351706036745</v>
      </c>
      <c r="V2" s="6" t="n">
        <f aca="false">IF(D2&gt;0,G2/D2,"")</f>
        <v>0.0317613089509143</v>
      </c>
      <c r="W2" s="4" t="n">
        <f aca="false">IF(D2&gt;0,C2/D2*1000,"")</f>
        <v>95.2550529355149</v>
      </c>
      <c r="X2" s="4" t="n">
        <f aca="false">IF(G2&gt;0,C2/G2,"")</f>
        <v>2.99909090909091</v>
      </c>
      <c r="Y2" s="4" t="n">
        <f aca="false">IF(I2&gt;0,C2/I2,"")</f>
        <v>98.97</v>
      </c>
      <c r="Z2" s="7" t="n">
        <f aca="false">IF(G2&gt;0,H2/G2,"")</f>
        <v>0.787878787878788</v>
      </c>
      <c r="AA2" s="7" t="n">
        <f aca="false">IF(H2&gt;0,I2/H2,"")</f>
        <v>0.0384615384615385</v>
      </c>
      <c r="AB2" s="6" t="n">
        <f aca="false">IF(D2&gt;0,J2/D2,"")</f>
        <v>0.378248315688162</v>
      </c>
      <c r="AC2" s="7" t="n">
        <f aca="false">IF(D2&gt;0,O2/D2,"")</f>
        <v>0.333974975938402</v>
      </c>
      <c r="AD2" s="7" t="n">
        <f aca="false">IF(O2&gt;0,S2/O2,"")</f>
        <v>0.0547550432276657</v>
      </c>
    </row>
    <row r="3" customFormat="false" ht="15" hidden="false" customHeight="false" outlineLevel="0" collapsed="false">
      <c r="A3" s="2" t="s">
        <v>122</v>
      </c>
      <c r="B3" s="2" t="s">
        <v>123</v>
      </c>
      <c r="C3" s="4" t="n">
        <v>54.75</v>
      </c>
      <c r="D3" s="5" t="n">
        <v>676</v>
      </c>
      <c r="E3" s="5" t="n">
        <v>490</v>
      </c>
      <c r="F3" s="5" t="n">
        <v>12</v>
      </c>
      <c r="G3" s="5" t="n">
        <v>10</v>
      </c>
      <c r="H3" s="5" t="n">
        <v>11</v>
      </c>
      <c r="I3" s="5" t="n">
        <v>0</v>
      </c>
      <c r="J3" s="5" t="n">
        <v>133</v>
      </c>
      <c r="K3" s="5" t="n">
        <v>3</v>
      </c>
      <c r="L3" s="5" t="n">
        <v>0</v>
      </c>
      <c r="M3" s="5" t="n">
        <v>0</v>
      </c>
      <c r="N3" s="5" t="n">
        <v>0</v>
      </c>
      <c r="O3" s="5" t="n">
        <v>120</v>
      </c>
      <c r="P3" s="5" t="n">
        <v>94</v>
      </c>
      <c r="Q3" s="5" t="n">
        <v>26</v>
      </c>
      <c r="R3" s="5" t="n">
        <v>12</v>
      </c>
      <c r="S3" s="5" t="n">
        <v>5</v>
      </c>
      <c r="T3" s="5" t="n">
        <v>5</v>
      </c>
      <c r="U3" s="8" t="n">
        <f aca="false">IF(E3&gt;0,D3/E3,"")</f>
        <v>1.37959183673469</v>
      </c>
      <c r="V3" s="6" t="n">
        <f aca="false">IF(D3&gt;0,G3/D3,"")</f>
        <v>0.014792899408284</v>
      </c>
      <c r="W3" s="4" t="n">
        <f aca="false">IF(D3&gt;0,C3/D3*1000,"")</f>
        <v>80.991124260355</v>
      </c>
      <c r="X3" s="4" t="n">
        <f aca="false">IF(G3&gt;0,C3/G3,"")</f>
        <v>5.475</v>
      </c>
      <c r="Y3" s="4" t="str">
        <f aca="false">IF(I3&gt;0,C3/I3,"")</f>
        <v/>
      </c>
      <c r="Z3" s="7" t="n">
        <f aca="false">IF(G3&gt;0,H3/G3,"")</f>
        <v>1.1</v>
      </c>
      <c r="AA3" s="7" t="n">
        <f aca="false">IF(H3&gt;0,I3/H3,"")</f>
        <v>0</v>
      </c>
      <c r="AB3" s="6" t="n">
        <f aca="false">IF(D3&gt;0,J3/D3,"")</f>
        <v>0.196745562130178</v>
      </c>
      <c r="AC3" s="7" t="n">
        <f aca="false">IF(D3&gt;0,O3/D3,"")</f>
        <v>0.177514792899408</v>
      </c>
      <c r="AD3" s="7" t="n">
        <f aca="false">IF(O3&gt;0,S3/O3,"")</f>
        <v>0.0416666666666667</v>
      </c>
    </row>
    <row r="4" customFormat="false" ht="15" hidden="false" customHeight="false" outlineLevel="0" collapsed="false">
      <c r="A4" s="2" t="s">
        <v>122</v>
      </c>
      <c r="B4" s="2" t="s">
        <v>124</v>
      </c>
      <c r="C4" s="4" t="n">
        <v>49.59</v>
      </c>
      <c r="D4" s="5" t="n">
        <v>700</v>
      </c>
      <c r="E4" s="5" t="n">
        <v>581</v>
      </c>
      <c r="F4" s="5" t="n">
        <v>13</v>
      </c>
      <c r="G4" s="5" t="n">
        <v>8</v>
      </c>
      <c r="H4" s="5" t="n">
        <v>4</v>
      </c>
      <c r="I4" s="5" t="n">
        <v>0</v>
      </c>
      <c r="J4" s="5" t="n">
        <v>206</v>
      </c>
      <c r="K4" s="5" t="n">
        <v>8</v>
      </c>
      <c r="L4" s="5" t="n">
        <v>0</v>
      </c>
      <c r="M4" s="5" t="n">
        <v>2</v>
      </c>
      <c r="N4" s="5" t="n">
        <v>0</v>
      </c>
      <c r="O4" s="5" t="n">
        <v>188</v>
      </c>
      <c r="P4" s="5" t="n">
        <v>151</v>
      </c>
      <c r="Q4" s="5" t="n">
        <v>47</v>
      </c>
      <c r="R4" s="5" t="n">
        <v>19</v>
      </c>
      <c r="S4" s="5" t="n">
        <v>11</v>
      </c>
      <c r="T4" s="5" t="n">
        <v>11</v>
      </c>
      <c r="U4" s="8" t="n">
        <f aca="false">IF(E4&gt;0,D4/E4,"")</f>
        <v>1.20481927710843</v>
      </c>
      <c r="V4" s="6" t="n">
        <f aca="false">IF(D4&gt;0,G4/D4,"")</f>
        <v>0.0114285714285714</v>
      </c>
      <c r="W4" s="4" t="n">
        <f aca="false">IF(D4&gt;0,C4/D4*1000,"")</f>
        <v>70.8428571428572</v>
      </c>
      <c r="X4" s="4" t="n">
        <f aca="false">IF(G4&gt;0,C4/G4,"")</f>
        <v>6.19875</v>
      </c>
      <c r="Y4" s="4" t="str">
        <f aca="false">IF(I4&gt;0,C4/I4,"")</f>
        <v/>
      </c>
      <c r="Z4" s="7" t="n">
        <f aca="false">IF(G4&gt;0,H4/G4,"")</f>
        <v>0.5</v>
      </c>
      <c r="AA4" s="7" t="n">
        <f aca="false">IF(H4&gt;0,I4/H4,"")</f>
        <v>0</v>
      </c>
      <c r="AB4" s="6" t="n">
        <f aca="false">IF(D4&gt;0,J4/D4,"")</f>
        <v>0.294285714285714</v>
      </c>
      <c r="AC4" s="7" t="n">
        <f aca="false">IF(D4&gt;0,O4/D4,"")</f>
        <v>0.268571428571429</v>
      </c>
      <c r="AD4" s="7" t="n">
        <f aca="false">IF(O4&gt;0,S4/O4,"")</f>
        <v>0.0585106382978723</v>
      </c>
    </row>
    <row r="5" customFormat="false" ht="15" hidden="false" customHeight="false" outlineLevel="0" collapsed="false">
      <c r="A5" s="2" t="s">
        <v>120</v>
      </c>
      <c r="B5" s="2" t="s">
        <v>123</v>
      </c>
      <c r="C5" s="4" t="n">
        <v>48.84</v>
      </c>
      <c r="D5" s="5" t="n">
        <v>545</v>
      </c>
      <c r="E5" s="5" t="n">
        <v>395</v>
      </c>
      <c r="F5" s="5" t="n">
        <v>14</v>
      </c>
      <c r="G5" s="5" t="n">
        <v>2</v>
      </c>
      <c r="H5" s="5" t="n">
        <v>0</v>
      </c>
      <c r="I5" s="5" t="n">
        <v>0</v>
      </c>
      <c r="J5" s="5" t="n">
        <v>82</v>
      </c>
      <c r="K5" s="5" t="n">
        <v>2</v>
      </c>
      <c r="L5" s="5" t="n">
        <v>0</v>
      </c>
      <c r="M5" s="5" t="n">
        <v>0</v>
      </c>
      <c r="N5" s="5" t="n">
        <v>0</v>
      </c>
      <c r="O5" s="5" t="n">
        <v>78</v>
      </c>
      <c r="P5" s="5" t="n">
        <v>60</v>
      </c>
      <c r="Q5" s="5" t="n">
        <v>30</v>
      </c>
      <c r="R5" s="5" t="n">
        <v>15</v>
      </c>
      <c r="S5" s="5" t="n">
        <v>7</v>
      </c>
      <c r="T5" s="5" t="n">
        <v>8</v>
      </c>
      <c r="U5" s="8" t="n">
        <f aca="false">IF(E5&gt;0,D5/E5,"")</f>
        <v>1.37974683544304</v>
      </c>
      <c r="V5" s="6" t="n">
        <f aca="false">IF(D5&gt;0,G5/D5,"")</f>
        <v>0.0036697247706422</v>
      </c>
      <c r="W5" s="4" t="n">
        <f aca="false">IF(D5&gt;0,C5/D5*1000,"")</f>
        <v>89.6146788990826</v>
      </c>
      <c r="X5" s="4" t="n">
        <f aca="false">IF(G5&gt;0,C5/G5,"")</f>
        <v>24.42</v>
      </c>
      <c r="Y5" s="4" t="str">
        <f aca="false">IF(I5&gt;0,C5/I5,"")</f>
        <v/>
      </c>
      <c r="Z5" s="7" t="n">
        <f aca="false">IF(G5&gt;0,H5/G5,"")</f>
        <v>0</v>
      </c>
      <c r="AA5" s="7" t="str">
        <f aca="false">IF(H5&gt;0,I5/H5,"")</f>
        <v/>
      </c>
      <c r="AB5" s="6" t="n">
        <f aca="false">IF(D5&gt;0,J5/D5,"")</f>
        <v>0.15045871559633</v>
      </c>
      <c r="AC5" s="7" t="n">
        <f aca="false">IF(D5&gt;0,O5/D5,"")</f>
        <v>0.143119266055046</v>
      </c>
      <c r="AD5" s="7" t="n">
        <f aca="false">IF(O5&gt;0,S5/O5,"")</f>
        <v>0.0897435897435897</v>
      </c>
    </row>
    <row r="6" customFormat="false" ht="15" hidden="false" customHeight="false" outlineLevel="0" collapsed="false">
      <c r="A6" s="2" t="s">
        <v>120</v>
      </c>
      <c r="B6" s="2" t="s">
        <v>125</v>
      </c>
      <c r="C6" s="4" t="n">
        <v>15.21</v>
      </c>
      <c r="D6" s="5" t="n">
        <v>1251</v>
      </c>
      <c r="E6" s="5" t="n">
        <v>932</v>
      </c>
      <c r="F6" s="5" t="n">
        <v>10</v>
      </c>
      <c r="G6" s="5" t="n">
        <v>11</v>
      </c>
      <c r="H6" s="5" t="n">
        <v>6</v>
      </c>
      <c r="I6" s="5" t="n">
        <v>0</v>
      </c>
      <c r="J6" s="5" t="n">
        <v>11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8" t="n">
        <f aca="false">IF(E6&gt;0,D6/E6,"")</f>
        <v>1.34227467811159</v>
      </c>
      <c r="V6" s="6" t="n">
        <f aca="false">IF(D6&gt;0,G6/D6,"")</f>
        <v>0.008792965627498</v>
      </c>
      <c r="W6" s="4" t="n">
        <f aca="false">IF(D6&gt;0,C6/D6*1000,"")</f>
        <v>12.158273381295</v>
      </c>
      <c r="X6" s="4" t="n">
        <f aca="false">IF(G6&gt;0,C6/G6,"")</f>
        <v>1.38272727272727</v>
      </c>
      <c r="Y6" s="4" t="str">
        <f aca="false">IF(I6&gt;0,C6/I6,"")</f>
        <v/>
      </c>
      <c r="Z6" s="7" t="n">
        <f aca="false">IF(G6&gt;0,H6/G6,"")</f>
        <v>0.545454545454545</v>
      </c>
      <c r="AA6" s="7" t="n">
        <f aca="false">IF(H6&gt;0,I6/H6,"")</f>
        <v>0</v>
      </c>
      <c r="AB6" s="6" t="n">
        <f aca="false">IF(D6&gt;0,J6/D6,"")</f>
        <v>0.008792965627498</v>
      </c>
      <c r="AC6" s="7" t="n">
        <f aca="false">IF(D6&gt;0,O6/D6,"")</f>
        <v>0</v>
      </c>
      <c r="AD6" s="7" t="str">
        <f aca="false">IF(O6&gt;0,S6/O6,"")</f>
        <v/>
      </c>
    </row>
    <row r="7" customFormat="false" ht="15" hidden="false" customHeight="false" outlineLevel="0" collapsed="false">
      <c r="A7" s="2" t="s">
        <v>122</v>
      </c>
      <c r="B7" s="2" t="s">
        <v>126</v>
      </c>
      <c r="C7" s="4" t="n">
        <v>12.22</v>
      </c>
      <c r="D7" s="5" t="n">
        <v>160</v>
      </c>
      <c r="E7" s="5" t="n">
        <v>121</v>
      </c>
      <c r="F7" s="5" t="n">
        <v>4</v>
      </c>
      <c r="G7" s="5" t="n">
        <v>3</v>
      </c>
      <c r="H7" s="5" t="n">
        <v>3</v>
      </c>
      <c r="I7" s="5" t="n">
        <v>0</v>
      </c>
      <c r="J7" s="5" t="n">
        <v>17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14</v>
      </c>
      <c r="P7" s="5" t="n">
        <v>10</v>
      </c>
      <c r="Q7" s="5" t="n">
        <v>2</v>
      </c>
      <c r="R7" s="5" t="n">
        <v>1</v>
      </c>
      <c r="S7" s="5" t="n">
        <v>1</v>
      </c>
      <c r="T7" s="5" t="n">
        <v>1</v>
      </c>
      <c r="U7" s="8" t="n">
        <f aca="false">IF(E7&gt;0,D7/E7,"")</f>
        <v>1.32231404958678</v>
      </c>
      <c r="V7" s="6" t="n">
        <f aca="false">IF(D7&gt;0,G7/D7,"")</f>
        <v>0.01875</v>
      </c>
      <c r="W7" s="4" t="n">
        <f aca="false">IF(D7&gt;0,C7/D7*1000,"")</f>
        <v>76.375</v>
      </c>
      <c r="X7" s="4" t="n">
        <f aca="false">IF(G7&gt;0,C7/G7,"")</f>
        <v>4.07333333333333</v>
      </c>
      <c r="Y7" s="4" t="str">
        <f aca="false">IF(I7&gt;0,C7/I7,"")</f>
        <v/>
      </c>
      <c r="Z7" s="7" t="n">
        <f aca="false">IF(G7&gt;0,H7/G7,"")</f>
        <v>1</v>
      </c>
      <c r="AA7" s="7" t="n">
        <f aca="false">IF(H7&gt;0,I7/H7,"")</f>
        <v>0</v>
      </c>
      <c r="AB7" s="6" t="n">
        <f aca="false">IF(D7&gt;0,J7/D7,"")</f>
        <v>0.10625</v>
      </c>
      <c r="AC7" s="7" t="n">
        <f aca="false">IF(D7&gt;0,O7/D7,"")</f>
        <v>0.0875</v>
      </c>
      <c r="AD7" s="7" t="n">
        <f aca="false">IF(O7&gt;0,S7/O7,"")</f>
        <v>0.0714285714285714</v>
      </c>
    </row>
    <row r="8" customFormat="false" ht="15" hidden="false" customHeight="false" outlineLevel="0" collapsed="false">
      <c r="A8" s="2" t="s">
        <v>120</v>
      </c>
      <c r="B8" s="2" t="s">
        <v>127</v>
      </c>
      <c r="C8" s="4" t="n">
        <v>6.28</v>
      </c>
      <c r="D8" s="5" t="n">
        <v>32</v>
      </c>
      <c r="E8" s="5" t="n">
        <v>30</v>
      </c>
      <c r="F8" s="5" t="n">
        <v>1</v>
      </c>
      <c r="G8" s="5" t="n">
        <v>1</v>
      </c>
      <c r="H8" s="5" t="n">
        <v>1</v>
      </c>
      <c r="I8" s="5" t="n">
        <v>0</v>
      </c>
      <c r="J8" s="5" t="n">
        <v>8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7</v>
      </c>
      <c r="P8" s="5" t="n">
        <v>6</v>
      </c>
      <c r="Q8" s="5" t="n">
        <v>2</v>
      </c>
      <c r="R8" s="5" t="n">
        <v>2</v>
      </c>
      <c r="S8" s="5" t="n">
        <v>1</v>
      </c>
      <c r="T8" s="5" t="n">
        <v>1</v>
      </c>
      <c r="U8" s="8" t="n">
        <f aca="false">IF(E8&gt;0,D8/E8,"")</f>
        <v>1.06666666666667</v>
      </c>
      <c r="V8" s="6" t="n">
        <f aca="false">IF(D8&gt;0,G8/D8,"")</f>
        <v>0.03125</v>
      </c>
      <c r="W8" s="4" t="n">
        <f aca="false">IF(D8&gt;0,C8/D8*1000,"")</f>
        <v>196.25</v>
      </c>
      <c r="X8" s="4" t="n">
        <f aca="false">IF(G8&gt;0,C8/G8,"")</f>
        <v>6.28</v>
      </c>
      <c r="Y8" s="4" t="str">
        <f aca="false">IF(I8&gt;0,C8/I8,"")</f>
        <v/>
      </c>
      <c r="Z8" s="7" t="n">
        <f aca="false">IF(G8&gt;0,H8/G8,"")</f>
        <v>1</v>
      </c>
      <c r="AA8" s="7" t="n">
        <f aca="false">IF(H8&gt;0,I8/H8,"")</f>
        <v>0</v>
      </c>
      <c r="AB8" s="6" t="n">
        <f aca="false">IF(D8&gt;0,J8/D8,"")</f>
        <v>0.25</v>
      </c>
      <c r="AC8" s="7" t="n">
        <f aca="false">IF(D8&gt;0,O8/D8,"")</f>
        <v>0.21875</v>
      </c>
      <c r="AD8" s="7" t="n">
        <f aca="false">IF(O8&gt;0,S8/O8,"")</f>
        <v>0.142857142857143</v>
      </c>
    </row>
    <row r="9" customFormat="false" ht="15" hidden="false" customHeight="false" outlineLevel="0" collapsed="false">
      <c r="A9" s="2" t="s">
        <v>120</v>
      </c>
      <c r="B9" s="2" t="s">
        <v>128</v>
      </c>
      <c r="C9" s="4" t="n">
        <v>1.35</v>
      </c>
      <c r="D9" s="5" t="n">
        <v>15</v>
      </c>
      <c r="E9" s="5" t="n">
        <v>8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8" t="n">
        <f aca="false">IF(E9&gt;0,D9/E9,"")</f>
        <v>1.875</v>
      </c>
      <c r="V9" s="6" t="n">
        <f aca="false">IF(D9&gt;0,G9/D9,"")</f>
        <v>0</v>
      </c>
      <c r="W9" s="4" t="n">
        <f aca="false">IF(D9&gt;0,C9/D9*1000,"")</f>
        <v>90</v>
      </c>
      <c r="X9" s="4" t="str">
        <f aca="false">IF(G9&gt;0,C9/G9,"")</f>
        <v/>
      </c>
      <c r="Y9" s="4" t="str">
        <f aca="false">IF(I9&gt;0,C9/I9,"")</f>
        <v/>
      </c>
      <c r="Z9" s="7" t="str">
        <f aca="false">IF(G9&gt;0,H9/G9,"")</f>
        <v/>
      </c>
      <c r="AA9" s="7" t="str">
        <f aca="false">IF(H9&gt;0,I9/H9,"")</f>
        <v/>
      </c>
      <c r="AB9" s="6" t="n">
        <f aca="false">IF(D9&gt;0,J9/D9,"")</f>
        <v>0</v>
      </c>
      <c r="AC9" s="7" t="n">
        <f aca="false">IF(D9&gt;0,O9/D9,"")</f>
        <v>0</v>
      </c>
      <c r="AD9" s="7" t="str">
        <f aca="false">IF(O9&gt;0,S9/O9,"")</f>
        <v/>
      </c>
    </row>
    <row r="10" customFormat="false" ht="15" hidden="false" customHeight="false" outlineLevel="0" collapsed="false">
      <c r="A10" s="2" t="s">
        <v>120</v>
      </c>
      <c r="B10" s="2" t="s">
        <v>129</v>
      </c>
      <c r="C10" s="4" t="n">
        <v>0.36</v>
      </c>
      <c r="D10" s="5" t="n">
        <v>8</v>
      </c>
      <c r="E10" s="5" t="n">
        <v>6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8" t="n">
        <f aca="false">IF(E10&gt;0,D10/E10,"")</f>
        <v>1.33333333333333</v>
      </c>
      <c r="V10" s="6" t="n">
        <f aca="false">IF(D10&gt;0,G10/D10,"")</f>
        <v>0</v>
      </c>
      <c r="W10" s="4" t="n">
        <f aca="false">IF(D10&gt;0,C10/D10*1000,"")</f>
        <v>45</v>
      </c>
      <c r="X10" s="4" t="str">
        <f aca="false">IF(G10&gt;0,C10/G10,"")</f>
        <v/>
      </c>
      <c r="Y10" s="4" t="str">
        <f aca="false">IF(I10&gt;0,C10/I10,"")</f>
        <v/>
      </c>
      <c r="Z10" s="7" t="str">
        <f aca="false">IF(G10&gt;0,H10/G10,"")</f>
        <v/>
      </c>
      <c r="AA10" s="7" t="str">
        <f aca="false">IF(H10&gt;0,I10/H10,"")</f>
        <v/>
      </c>
      <c r="AB10" s="6" t="n">
        <f aca="false">IF(D10&gt;0,J10/D10,"")</f>
        <v>0</v>
      </c>
      <c r="AC10" s="7" t="n">
        <f aca="false">IF(D10&gt;0,O10/D10,"")</f>
        <v>0</v>
      </c>
      <c r="AD10" s="7" t="str">
        <f aca="false">IF(O10&gt;0,S10/O10,"")</f>
        <v/>
      </c>
    </row>
    <row r="11" customFormat="false" ht="15" hidden="false" customHeight="false" outlineLevel="0" collapsed="false">
      <c r="A11" s="2" t="s">
        <v>120</v>
      </c>
      <c r="B11" s="2" t="s">
        <v>130</v>
      </c>
      <c r="C11" s="4" t="n">
        <v>0.3</v>
      </c>
      <c r="D11" s="5" t="n">
        <v>1</v>
      </c>
      <c r="E11" s="5" t="n">
        <v>1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8" t="n">
        <f aca="false">IF(E11&gt;0,D11/E11,"")</f>
        <v>1</v>
      </c>
      <c r="V11" s="6" t="n">
        <f aca="false">IF(D11&gt;0,G11/D11,"")</f>
        <v>0</v>
      </c>
      <c r="W11" s="4" t="n">
        <f aca="false">IF(D11&gt;0,C11/D11*1000,"")</f>
        <v>300</v>
      </c>
      <c r="X11" s="4" t="str">
        <f aca="false">IF(G11&gt;0,C11/G11,"")</f>
        <v/>
      </c>
      <c r="Y11" s="4" t="str">
        <f aca="false">IF(I11&gt;0,C11/I11,"")</f>
        <v/>
      </c>
      <c r="Z11" s="7" t="str">
        <f aca="false">IF(G11&gt;0,H11/G11,"")</f>
        <v/>
      </c>
      <c r="AA11" s="7" t="str">
        <f aca="false">IF(H11&gt;0,I11/H11,"")</f>
        <v/>
      </c>
      <c r="AB11" s="6" t="n">
        <f aca="false">IF(D11&gt;0,J11/D11,"")</f>
        <v>0</v>
      </c>
      <c r="AC11" s="7" t="n">
        <f aca="false">IF(D11&gt;0,O11/D11,"")</f>
        <v>0</v>
      </c>
      <c r="AD11" s="7" t="str">
        <f aca="false">IF(O11&gt;0,S11/O11,"")</f>
        <v/>
      </c>
    </row>
    <row r="12" customFormat="false" ht="15" hidden="false" customHeight="false" outlineLevel="0" collapsed="false">
      <c r="A12" s="2" t="s">
        <v>120</v>
      </c>
      <c r="B12" s="2" t="s">
        <v>131</v>
      </c>
      <c r="C12" s="4" t="n">
        <v>0.26</v>
      </c>
      <c r="D12" s="5" t="n">
        <v>4</v>
      </c>
      <c r="E12" s="5" t="n">
        <v>4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8" t="n">
        <f aca="false">IF(E12&gt;0,D12/E12,"")</f>
        <v>1</v>
      </c>
      <c r="V12" s="6" t="n">
        <f aca="false">IF(D12&gt;0,G12/D12,"")</f>
        <v>0</v>
      </c>
      <c r="W12" s="4" t="n">
        <f aca="false">IF(D12&gt;0,C12/D12*1000,"")</f>
        <v>65</v>
      </c>
      <c r="X12" s="4" t="str">
        <f aca="false">IF(G12&gt;0,C12/G12,"")</f>
        <v/>
      </c>
      <c r="Y12" s="4" t="str">
        <f aca="false">IF(I12&gt;0,C12/I12,"")</f>
        <v/>
      </c>
      <c r="Z12" s="7" t="str">
        <f aca="false">IF(G12&gt;0,H12/G12,"")</f>
        <v/>
      </c>
      <c r="AA12" s="7" t="str">
        <f aca="false">IF(H12&gt;0,I12/H12,"")</f>
        <v/>
      </c>
      <c r="AB12" s="6" t="n">
        <f aca="false">IF(D12&gt;0,J12/D12,"")</f>
        <v>0</v>
      </c>
      <c r="AC12" s="7" t="n">
        <f aca="false">IF(D12&gt;0,O12/D12,"")</f>
        <v>0</v>
      </c>
      <c r="AD12" s="7" t="str">
        <f aca="false">IF(O12&gt;0,S12/O12,"")</f>
        <v/>
      </c>
    </row>
    <row r="13" customFormat="false" ht="15" hidden="false" customHeight="false" outlineLevel="0" collapsed="false">
      <c r="A13" s="2" t="s">
        <v>120</v>
      </c>
      <c r="B13" s="2" t="s">
        <v>132</v>
      </c>
      <c r="C13" s="4" t="n">
        <v>0.13</v>
      </c>
      <c r="D13" s="5" t="n">
        <v>21</v>
      </c>
      <c r="E13" s="5" t="n">
        <v>6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8" t="n">
        <f aca="false">IF(E13&gt;0,D13/E13,"")</f>
        <v>3.5</v>
      </c>
      <c r="V13" s="6" t="n">
        <f aca="false">IF(D13&gt;0,G13/D13,"")</f>
        <v>0</v>
      </c>
      <c r="W13" s="4" t="n">
        <f aca="false">IF(D13&gt;0,C13/D13*1000,"")</f>
        <v>6.19047619047619</v>
      </c>
      <c r="X13" s="4" t="str">
        <f aca="false">IF(G13&gt;0,C13/G13,"")</f>
        <v/>
      </c>
      <c r="Y13" s="4" t="str">
        <f aca="false">IF(I13&gt;0,C13/I13,"")</f>
        <v/>
      </c>
      <c r="Z13" s="7" t="str">
        <f aca="false">IF(G13&gt;0,H13/G13,"")</f>
        <v/>
      </c>
      <c r="AA13" s="7" t="str">
        <f aca="false">IF(H13&gt;0,I13/H13,"")</f>
        <v/>
      </c>
      <c r="AB13" s="6" t="n">
        <f aca="false">IF(D13&gt;0,J13/D13,"")</f>
        <v>0</v>
      </c>
      <c r="AC13" s="7" t="n">
        <f aca="false">IF(D13&gt;0,O13/D13,"")</f>
        <v>0</v>
      </c>
      <c r="AD13" s="7" t="str">
        <f aca="false">IF(O13&gt;0,S13/O13,"")</f>
        <v/>
      </c>
    </row>
    <row r="14" customFormat="false" ht="15" hidden="false" customHeight="false" outlineLevel="0" collapsed="false">
      <c r="A14" s="2" t="s">
        <v>133</v>
      </c>
      <c r="B14" s="2" t="s">
        <v>133</v>
      </c>
      <c r="C14" s="4" t="n">
        <v>0.04</v>
      </c>
      <c r="D14" s="5" t="n">
        <v>1</v>
      </c>
      <c r="E14" s="5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8" t="n">
        <f aca="false">IF(E14&gt;0,D14/E14,"")</f>
        <v>1</v>
      </c>
      <c r="V14" s="6" t="n">
        <f aca="false">IF(D14&gt;0,G14/D14,"")</f>
        <v>0</v>
      </c>
      <c r="W14" s="4" t="n">
        <f aca="false">IF(D14&gt;0,C14/D14*1000,"")</f>
        <v>40</v>
      </c>
      <c r="X14" s="4" t="str">
        <f aca="false">IF(G14&gt;0,C14/G14,"")</f>
        <v/>
      </c>
      <c r="Y14" s="4" t="str">
        <f aca="false">IF(I14&gt;0,C14/I14,"")</f>
        <v/>
      </c>
      <c r="Z14" s="7" t="str">
        <f aca="false">IF(G14&gt;0,H14/G14,"")</f>
        <v/>
      </c>
      <c r="AA14" s="7" t="str">
        <f aca="false">IF(H14&gt;0,I14/H14,"")</f>
        <v/>
      </c>
      <c r="AB14" s="6" t="n">
        <f aca="false">IF(D14&gt;0,J14/D14,"")</f>
        <v>0</v>
      </c>
      <c r="AC14" s="7" t="n">
        <f aca="false">IF(D14&gt;0,O14/D14,"")</f>
        <v>0</v>
      </c>
      <c r="AD14" s="7" t="str">
        <f aca="false">IF(O14&gt;0,S14/O14,"")</f>
        <v/>
      </c>
    </row>
    <row r="15" customFormat="false" ht="15" hidden="false" customHeight="false" outlineLevel="0" collapsed="false">
      <c r="A15" s="2" t="s">
        <v>122</v>
      </c>
      <c r="B15" s="2" t="s">
        <v>134</v>
      </c>
      <c r="C15" s="4" t="n">
        <v>0</v>
      </c>
      <c r="D15" s="5" t="n">
        <v>4</v>
      </c>
      <c r="E15" s="5" t="n">
        <v>3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8" t="n">
        <f aca="false">IF(E15&gt;0,D15/E15,"")</f>
        <v>1.33333333333333</v>
      </c>
      <c r="V15" s="6" t="n">
        <f aca="false">IF(D15&gt;0,G15/D15,"")</f>
        <v>0</v>
      </c>
      <c r="W15" s="4" t="n">
        <f aca="false">IF(D15&gt;0,C15/D15*1000,"")</f>
        <v>0</v>
      </c>
      <c r="X15" s="4" t="str">
        <f aca="false">IF(G15&gt;0,C15/G15,"")</f>
        <v/>
      </c>
      <c r="Y15" s="4" t="str">
        <f aca="false">IF(I15&gt;0,C15/I15,"")</f>
        <v/>
      </c>
      <c r="Z15" s="7" t="str">
        <f aca="false">IF(G15&gt;0,H15/G15,"")</f>
        <v/>
      </c>
      <c r="AA15" s="7" t="str">
        <f aca="false">IF(H15&gt;0,I15/H15,"")</f>
        <v/>
      </c>
      <c r="AB15" s="6" t="n">
        <f aca="false">IF(D15&gt;0,J15/D15,"")</f>
        <v>0</v>
      </c>
      <c r="AC15" s="7" t="n">
        <f aca="false">IF(D15&gt;0,O15/D15,"")</f>
        <v>0</v>
      </c>
      <c r="AD15" s="7" t="str">
        <f aca="false">IF(O15&gt;0,S15/O15,"")</f>
        <v/>
      </c>
    </row>
    <row r="16" customFormat="false" ht="15" hidden="false" customHeight="false" outlineLevel="0" collapsed="false">
      <c r="A16" s="2" t="s">
        <v>122</v>
      </c>
      <c r="B16" s="2" t="s">
        <v>135</v>
      </c>
      <c r="C16" s="4" t="n">
        <v>0</v>
      </c>
      <c r="D16" s="5" t="n">
        <v>1</v>
      </c>
      <c r="E16" s="5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8" t="n">
        <f aca="false">IF(E16&gt;0,D16/E16,"")</f>
        <v>1</v>
      </c>
      <c r="V16" s="6" t="n">
        <f aca="false">IF(D16&gt;0,G16/D16,"")</f>
        <v>0</v>
      </c>
      <c r="W16" s="4" t="n">
        <f aca="false">IF(D16&gt;0,C16/D16*1000,"")</f>
        <v>0</v>
      </c>
      <c r="X16" s="4" t="str">
        <f aca="false">IF(G16&gt;0,C16/G16,"")</f>
        <v/>
      </c>
      <c r="Y16" s="4" t="str">
        <f aca="false">IF(I16&gt;0,C16/I16,"")</f>
        <v/>
      </c>
      <c r="Z16" s="7" t="str">
        <f aca="false">IF(G16&gt;0,H16/G16,"")</f>
        <v/>
      </c>
      <c r="AA16" s="7" t="str">
        <f aca="false">IF(H16&gt;0,I16/H16,"")</f>
        <v/>
      </c>
      <c r="AB16" s="6" t="n">
        <f aca="false">IF(D16&gt;0,J16/D16,"")</f>
        <v>0</v>
      </c>
      <c r="AC16" s="7" t="n">
        <f aca="false">IF(D16&gt;0,O16/D16,"")</f>
        <v>0</v>
      </c>
      <c r="AD16" s="7" t="str">
        <f aca="false">IF(O16&gt;0,S16/O16,"")</f>
        <v/>
      </c>
    </row>
    <row r="17" customFormat="false" ht="15" hidden="false" customHeight="false" outlineLevel="0" collapsed="false">
      <c r="A17" s="11" t="s">
        <v>46</v>
      </c>
      <c r="B17" s="11"/>
      <c r="C17" s="12" t="n">
        <f aca="false">SUM(C2:C16)</f>
        <v>288.3</v>
      </c>
      <c r="D17" s="13" t="n">
        <f aca="false">SUM(D2:D16)</f>
        <v>4458</v>
      </c>
      <c r="E17" s="13"/>
      <c r="F17" s="13" t="n">
        <f aca="false">SUM(F2:F16)</f>
        <v>95</v>
      </c>
      <c r="G17" s="13" t="n">
        <f aca="false">SUM(G2:G16)</f>
        <v>68</v>
      </c>
      <c r="H17" s="13" t="n">
        <f aca="false">SUM(H2:H16)</f>
        <v>51</v>
      </c>
      <c r="I17" s="13" t="n">
        <f aca="false">SUM(I2:I16)</f>
        <v>1</v>
      </c>
      <c r="J17" s="13" t="n">
        <f aca="false">SUM(J2:J16)</f>
        <v>850</v>
      </c>
      <c r="K17" s="13" t="n">
        <f aca="false">SUM(K2:K16)</f>
        <v>20</v>
      </c>
      <c r="L17" s="13" t="n">
        <f aca="false">SUM(L2:L16)</f>
        <v>0</v>
      </c>
      <c r="M17" s="13" t="n">
        <f aca="false">SUM(M2:M16)</f>
        <v>3</v>
      </c>
      <c r="N17" s="13" t="n">
        <f aca="false">SUM(N2:N16)</f>
        <v>5</v>
      </c>
      <c r="O17" s="13" t="n">
        <f aca="false">SUM(O2:O16)</f>
        <v>754</v>
      </c>
      <c r="P17" s="13" t="n">
        <f aca="false">SUM(P2:P16)</f>
        <v>593</v>
      </c>
      <c r="Q17" s="13" t="n">
        <f aca="false">SUM(Q2:Q16)</f>
        <v>194</v>
      </c>
      <c r="R17" s="13" t="n">
        <f aca="false">SUM(R2:R16)</f>
        <v>93</v>
      </c>
      <c r="S17" s="13" t="n">
        <f aca="false">SUM(S2:S16)</f>
        <v>44</v>
      </c>
      <c r="T17" s="13" t="n">
        <f aca="false">SUM(T2:T16)</f>
        <v>47</v>
      </c>
      <c r="U17" s="14" t="str">
        <f aca="false">IF(E17&gt;0,D17/E17,"")</f>
        <v/>
      </c>
      <c r="V17" s="15" t="n">
        <f aca="false">IF(D17&gt;0,G17/D17,"")</f>
        <v>0.0152534768954688</v>
      </c>
      <c r="W17" s="12" t="n">
        <f aca="false">IF(D17&gt;0,C17/D17*1000,"")</f>
        <v>64.6702557200538</v>
      </c>
      <c r="X17" s="12" t="n">
        <f aca="false">IF(G17&gt;0,C17/G17,"")</f>
        <v>4.23970588235294</v>
      </c>
      <c r="Y17" s="12" t="n">
        <f aca="false">IF(I17&gt;0,C17/I17,"")</f>
        <v>288.3</v>
      </c>
      <c r="Z17" s="16" t="n">
        <f aca="false">IF(G17&gt;0,H17/G17,"")</f>
        <v>0.75</v>
      </c>
      <c r="AA17" s="16" t="n">
        <f aca="false">IF(H17&gt;0,I17/H17,"")</f>
        <v>0.0196078431372549</v>
      </c>
      <c r="AB17" s="15" t="n">
        <f aca="false">IF(D17&gt;0,J17/D17,"")</f>
        <v>0.19066846119336</v>
      </c>
      <c r="AC17" s="16" t="n">
        <f aca="false">IF(D17&gt;0,O17/D17,"")</f>
        <v>0.169134140870345</v>
      </c>
      <c r="AD17" s="16" t="n">
        <f aca="false">IF(O17&gt;0,S17/O17,"")</f>
        <v>0.0583554376657825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136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137</v>
      </c>
      <c r="B2" s="4" t="n">
        <v>190.51</v>
      </c>
      <c r="C2" s="5" t="n">
        <v>3315</v>
      </c>
      <c r="D2" s="5" t="n">
        <v>2245</v>
      </c>
      <c r="E2" s="5" t="n">
        <v>66</v>
      </c>
      <c r="F2" s="5" t="n">
        <v>51</v>
      </c>
      <c r="G2" s="5" t="n">
        <v>38</v>
      </c>
      <c r="H2" s="5" t="n">
        <v>0</v>
      </c>
      <c r="I2" s="5" t="n">
        <v>603</v>
      </c>
      <c r="J2" s="5" t="n">
        <v>13</v>
      </c>
      <c r="K2" s="5" t="n">
        <v>0</v>
      </c>
      <c r="L2" s="5" t="n">
        <v>2</v>
      </c>
      <c r="M2" s="5" t="n">
        <v>3</v>
      </c>
      <c r="N2" s="5" t="n">
        <v>534</v>
      </c>
      <c r="O2" s="5" t="n">
        <v>422</v>
      </c>
      <c r="P2" s="5" t="n">
        <v>140</v>
      </c>
      <c r="Q2" s="5" t="n">
        <v>71</v>
      </c>
      <c r="R2" s="5" t="n">
        <v>32</v>
      </c>
      <c r="S2" s="5" t="n">
        <v>35</v>
      </c>
      <c r="T2" s="8" t="n">
        <f aca="false">IF(D2&gt;0,C2/D2,"")</f>
        <v>1.47661469933185</v>
      </c>
      <c r="U2" s="6" t="n">
        <f aca="false">IF(C2&gt;0,F2/C2,"")</f>
        <v>0.0153846153846154</v>
      </c>
      <c r="V2" s="4" t="n">
        <f aca="false">IF(C2&gt;0,B2/C2*1000,"")</f>
        <v>57.4690799396682</v>
      </c>
      <c r="W2" s="4" t="n">
        <f aca="false">IF(F2&gt;0,B2/F2,"")</f>
        <v>3.73549019607843</v>
      </c>
      <c r="X2" s="4" t="str">
        <f aca="false">IF(H2&gt;0,B2/H2,"")</f>
        <v/>
      </c>
      <c r="Y2" s="7" t="n">
        <f aca="false">IF(F2&gt;0,G2/F2,"")</f>
        <v>0.745098039215686</v>
      </c>
      <c r="Z2" s="7" t="n">
        <f aca="false">IF(G2&gt;0,H2/G2,"")</f>
        <v>0</v>
      </c>
      <c r="AA2" s="6" t="n">
        <f aca="false">IF(C2&gt;0,I2/C2,"")</f>
        <v>0.181900452488688</v>
      </c>
      <c r="AB2" s="7" t="n">
        <f aca="false">IF(C2&gt;0,N2/C2,"")</f>
        <v>0.161085972850679</v>
      </c>
      <c r="AC2" s="7" t="n">
        <f aca="false">IF(N2&gt;0,R2/N2,"")</f>
        <v>0.0599250936329588</v>
      </c>
    </row>
    <row r="3" customFormat="false" ht="15" hidden="false" customHeight="false" outlineLevel="0" collapsed="false">
      <c r="A3" s="2" t="s">
        <v>138</v>
      </c>
      <c r="B3" s="4" t="n">
        <v>92.75</v>
      </c>
      <c r="C3" s="5" t="n">
        <v>1046</v>
      </c>
      <c r="D3" s="5" t="n">
        <v>788</v>
      </c>
      <c r="E3" s="5" t="n">
        <v>27</v>
      </c>
      <c r="F3" s="5" t="n">
        <v>16</v>
      </c>
      <c r="G3" s="5" t="n">
        <v>10</v>
      </c>
      <c r="H3" s="5" t="n">
        <v>1</v>
      </c>
      <c r="I3" s="5" t="n">
        <v>228</v>
      </c>
      <c r="J3" s="5" t="n">
        <v>5</v>
      </c>
      <c r="K3" s="5" t="n">
        <v>0</v>
      </c>
      <c r="L3" s="5" t="n">
        <v>1</v>
      </c>
      <c r="M3" s="5" t="n">
        <v>2</v>
      </c>
      <c r="N3" s="5" t="n">
        <v>204</v>
      </c>
      <c r="O3" s="5" t="n">
        <v>159</v>
      </c>
      <c r="P3" s="5" t="n">
        <v>45</v>
      </c>
      <c r="Q3" s="5" t="n">
        <v>20</v>
      </c>
      <c r="R3" s="5" t="n">
        <v>12</v>
      </c>
      <c r="S3" s="5" t="n">
        <v>12</v>
      </c>
      <c r="T3" s="8" t="n">
        <f aca="false">IF(D3&gt;0,C3/D3,"")</f>
        <v>1.32741116751269</v>
      </c>
      <c r="U3" s="6" t="n">
        <f aca="false">IF(C3&gt;0,F3/C3,"")</f>
        <v>0.0152963671128107</v>
      </c>
      <c r="V3" s="4" t="n">
        <f aca="false">IF(C3&gt;0,B3/C3*1000,"")</f>
        <v>88.6711281070746</v>
      </c>
      <c r="W3" s="4" t="n">
        <f aca="false">IF(F3&gt;0,B3/F3,"")</f>
        <v>5.796875</v>
      </c>
      <c r="X3" s="4" t="n">
        <f aca="false">IF(H3&gt;0,B3/H3,"")</f>
        <v>92.75</v>
      </c>
      <c r="Y3" s="7" t="n">
        <f aca="false">IF(F3&gt;0,G3/F3,"")</f>
        <v>0.625</v>
      </c>
      <c r="Z3" s="7" t="n">
        <f aca="false">IF(G3&gt;0,H3/G3,"")</f>
        <v>0.1</v>
      </c>
      <c r="AA3" s="6" t="n">
        <f aca="false">IF(C3&gt;0,I3/C3,"")</f>
        <v>0.217973231357553</v>
      </c>
      <c r="AB3" s="7" t="n">
        <f aca="false">IF(C3&gt;0,N3/C3,"")</f>
        <v>0.195028680688337</v>
      </c>
      <c r="AC3" s="7" t="n">
        <f aca="false">IF(N3&gt;0,R3/N3,"")</f>
        <v>0.0588235294117647</v>
      </c>
    </row>
    <row r="4" customFormat="false" ht="15" hidden="false" customHeight="false" outlineLevel="0" collapsed="false">
      <c r="A4" s="2" t="s">
        <v>139</v>
      </c>
      <c r="B4" s="4" t="n">
        <v>1.95</v>
      </c>
      <c r="C4" s="5" t="n">
        <v>24</v>
      </c>
      <c r="D4" s="5" t="n">
        <v>20</v>
      </c>
      <c r="E4" s="5" t="n">
        <v>1</v>
      </c>
      <c r="F4" s="5" t="n">
        <v>1</v>
      </c>
      <c r="G4" s="5" t="n">
        <v>3</v>
      </c>
      <c r="H4" s="5" t="n">
        <v>0</v>
      </c>
      <c r="I4" s="5" t="n">
        <v>8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7</v>
      </c>
      <c r="O4" s="5" t="n">
        <v>6</v>
      </c>
      <c r="P4" s="5" t="n">
        <v>3</v>
      </c>
      <c r="Q4" s="5" t="n">
        <v>1</v>
      </c>
      <c r="R4" s="5" t="n">
        <v>0</v>
      </c>
      <c r="S4" s="5" t="n">
        <v>0</v>
      </c>
      <c r="T4" s="8" t="n">
        <f aca="false">IF(D4&gt;0,C4/D4,"")</f>
        <v>1.2</v>
      </c>
      <c r="U4" s="6" t="n">
        <f aca="false">IF(C4&gt;0,F4/C4,"")</f>
        <v>0.0416666666666667</v>
      </c>
      <c r="V4" s="4" t="n">
        <f aca="false">IF(C4&gt;0,B4/C4*1000,"")</f>
        <v>81.25</v>
      </c>
      <c r="W4" s="4" t="n">
        <f aca="false">IF(F4&gt;0,B4/F4,"")</f>
        <v>1.95</v>
      </c>
      <c r="X4" s="4" t="str">
        <f aca="false">IF(H4&gt;0,B4/H4,"")</f>
        <v/>
      </c>
      <c r="Y4" s="7" t="n">
        <f aca="false">IF(F4&gt;0,G4/F4,"")</f>
        <v>3</v>
      </c>
      <c r="Z4" s="7" t="n">
        <f aca="false">IF(G4&gt;0,H4/G4,"")</f>
        <v>0</v>
      </c>
      <c r="AA4" s="6" t="n">
        <f aca="false">IF(C4&gt;0,I4/C4,"")</f>
        <v>0.333333333333333</v>
      </c>
      <c r="AB4" s="7" t="n">
        <f aca="false">IF(C4&gt;0,N4/C4,"")</f>
        <v>0.291666666666667</v>
      </c>
      <c r="AC4" s="7" t="n">
        <f aca="false">IF(N4&gt;0,R4/N4,"")</f>
        <v>0</v>
      </c>
    </row>
    <row r="5" customFormat="false" ht="15" hidden="false" customHeight="false" outlineLevel="0" collapsed="false">
      <c r="A5" s="2" t="s">
        <v>140</v>
      </c>
      <c r="B5" s="4" t="n">
        <v>1.74</v>
      </c>
      <c r="C5" s="5" t="n">
        <v>24</v>
      </c>
      <c r="D5" s="5" t="n">
        <v>20</v>
      </c>
      <c r="E5" s="5" t="n">
        <v>1</v>
      </c>
      <c r="F5" s="5" t="n">
        <v>0</v>
      </c>
      <c r="G5" s="5" t="n">
        <v>0</v>
      </c>
      <c r="H5" s="5" t="n">
        <v>0</v>
      </c>
      <c r="I5" s="5" t="n">
        <v>7</v>
      </c>
      <c r="J5" s="5" t="n">
        <v>2</v>
      </c>
      <c r="K5" s="5" t="n">
        <v>0</v>
      </c>
      <c r="L5" s="5" t="n">
        <v>0</v>
      </c>
      <c r="M5" s="5" t="n">
        <v>0</v>
      </c>
      <c r="N5" s="5" t="n">
        <v>5</v>
      </c>
      <c r="O5" s="5" t="n">
        <v>3</v>
      </c>
      <c r="P5" s="5" t="n">
        <v>2</v>
      </c>
      <c r="Q5" s="5" t="n">
        <v>1</v>
      </c>
      <c r="R5" s="5" t="n">
        <v>0</v>
      </c>
      <c r="S5" s="5" t="n">
        <v>0</v>
      </c>
      <c r="T5" s="8" t="n">
        <f aca="false">IF(D5&gt;0,C5/D5,"")</f>
        <v>1.2</v>
      </c>
      <c r="U5" s="6" t="n">
        <f aca="false">IF(C5&gt;0,F5/C5,"")</f>
        <v>0</v>
      </c>
      <c r="V5" s="4" t="n">
        <f aca="false">IF(C5&gt;0,B5/C5*1000,"")</f>
        <v>72.5</v>
      </c>
      <c r="W5" s="4" t="str">
        <f aca="false">IF(F5&gt;0,B5/F5,"")</f>
        <v/>
      </c>
      <c r="X5" s="4" t="str">
        <f aca="false">IF(H5&gt;0,B5/H5,"")</f>
        <v/>
      </c>
      <c r="Y5" s="7" t="str">
        <f aca="false">IF(F5&gt;0,G5/F5,"")</f>
        <v/>
      </c>
      <c r="Z5" s="7" t="str">
        <f aca="false">IF(G5&gt;0,H5/G5,"")</f>
        <v/>
      </c>
      <c r="AA5" s="6" t="n">
        <f aca="false">IF(C5&gt;0,I5/C5,"")</f>
        <v>0.291666666666667</v>
      </c>
      <c r="AB5" s="7" t="n">
        <f aca="false">IF(C5&gt;0,N5/C5,"")</f>
        <v>0.208333333333333</v>
      </c>
      <c r="AC5" s="7" t="n">
        <f aca="false">IF(N5&gt;0,R5/N5,"")</f>
        <v>0</v>
      </c>
    </row>
    <row r="6" customFormat="false" ht="15" hidden="false" customHeight="false" outlineLevel="0" collapsed="false">
      <c r="A6" s="2" t="s">
        <v>141</v>
      </c>
      <c r="B6" s="4" t="n">
        <v>1.19</v>
      </c>
      <c r="C6" s="5" t="n">
        <v>43</v>
      </c>
      <c r="D6" s="5" t="n">
        <v>15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2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2</v>
      </c>
      <c r="O6" s="5" t="n">
        <v>2</v>
      </c>
      <c r="P6" s="5" t="n">
        <v>1</v>
      </c>
      <c r="Q6" s="5" t="n">
        <v>0</v>
      </c>
      <c r="R6" s="5" t="n">
        <v>0</v>
      </c>
      <c r="S6" s="5" t="n">
        <v>0</v>
      </c>
      <c r="T6" s="8" t="n">
        <f aca="false">IF(D6&gt;0,C6/D6,"")</f>
        <v>2.86666666666667</v>
      </c>
      <c r="U6" s="6" t="n">
        <f aca="false">IF(C6&gt;0,F6/C6,"")</f>
        <v>0</v>
      </c>
      <c r="V6" s="4" t="n">
        <f aca="false">IF(C6&gt;0,B6/C6*1000,"")</f>
        <v>27.6744186046512</v>
      </c>
      <c r="W6" s="4" t="str">
        <f aca="false">IF(F6&gt;0,B6/F6,"")</f>
        <v/>
      </c>
      <c r="X6" s="4" t="str">
        <f aca="false">IF(H6&gt;0,B6/H6,"")</f>
        <v/>
      </c>
      <c r="Y6" s="7" t="str">
        <f aca="false">IF(F6&gt;0,G6/F6,"")</f>
        <v/>
      </c>
      <c r="Z6" s="7" t="str">
        <f aca="false">IF(G6&gt;0,H6/G6,"")</f>
        <v/>
      </c>
      <c r="AA6" s="6" t="n">
        <f aca="false">IF(C6&gt;0,I6/C6,"")</f>
        <v>0.0465116279069767</v>
      </c>
      <c r="AB6" s="7" t="n">
        <f aca="false">IF(C6&gt;0,N6/C6,"")</f>
        <v>0.0465116279069767</v>
      </c>
      <c r="AC6" s="7" t="n">
        <f aca="false">IF(N6&gt;0,R6/N6,"")</f>
        <v>0</v>
      </c>
    </row>
    <row r="7" customFormat="false" ht="15" hidden="false" customHeight="false" outlineLevel="0" collapsed="false">
      <c r="A7" s="2" t="s">
        <v>142</v>
      </c>
      <c r="B7" s="4" t="n">
        <v>0.16</v>
      </c>
      <c r="C7" s="5" t="n">
        <v>6</v>
      </c>
      <c r="D7" s="5" t="n">
        <v>4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2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2</v>
      </c>
      <c r="O7" s="5" t="n">
        <v>1</v>
      </c>
      <c r="P7" s="5" t="n">
        <v>3</v>
      </c>
      <c r="Q7" s="5" t="n">
        <v>0</v>
      </c>
      <c r="R7" s="5" t="n">
        <v>0</v>
      </c>
      <c r="S7" s="5" t="n">
        <v>0</v>
      </c>
      <c r="T7" s="8" t="n">
        <f aca="false">IF(D7&gt;0,C7/D7,"")</f>
        <v>1.5</v>
      </c>
      <c r="U7" s="6" t="n">
        <f aca="false">IF(C7&gt;0,F7/C7,"")</f>
        <v>0</v>
      </c>
      <c r="V7" s="4" t="n">
        <f aca="false">IF(C7&gt;0,B7/C7*1000,"")</f>
        <v>26.6666666666667</v>
      </c>
      <c r="W7" s="4" t="str">
        <f aca="false">IF(F7&gt;0,B7/F7,"")</f>
        <v/>
      </c>
      <c r="X7" s="4" t="str">
        <f aca="false">IF(H7&gt;0,B7/H7,"")</f>
        <v/>
      </c>
      <c r="Y7" s="7" t="str">
        <f aca="false">IF(F7&gt;0,G7/F7,"")</f>
        <v/>
      </c>
      <c r="Z7" s="7" t="str">
        <f aca="false">IF(G7&gt;0,H7/G7,"")</f>
        <v/>
      </c>
      <c r="AA7" s="6" t="n">
        <f aca="false">IF(C7&gt;0,I7/C7,"")</f>
        <v>0.333333333333333</v>
      </c>
      <c r="AB7" s="7" t="n">
        <f aca="false">IF(C7&gt;0,N7/C7,"")</f>
        <v>0.333333333333333</v>
      </c>
      <c r="AC7" s="7" t="n">
        <f aca="false">IF(N7&gt;0,R7/N7,"")</f>
        <v>0</v>
      </c>
    </row>
    <row r="8" customFormat="false" ht="15" hidden="false" customHeight="false" outlineLevel="0" collapsed="false">
      <c r="A8" s="11" t="s">
        <v>46</v>
      </c>
      <c r="B8" s="12" t="n">
        <f aca="false">SUM(B2:B7)</f>
        <v>288.3</v>
      </c>
      <c r="C8" s="13" t="n">
        <f aca="false">SUM(C2:C7)</f>
        <v>4458</v>
      </c>
      <c r="D8" s="13"/>
      <c r="E8" s="13" t="n">
        <f aca="false">SUM(E2:E7)</f>
        <v>95</v>
      </c>
      <c r="F8" s="13" t="n">
        <f aca="false">SUM(F2:F7)</f>
        <v>68</v>
      </c>
      <c r="G8" s="13" t="n">
        <f aca="false">SUM(G2:G7)</f>
        <v>51</v>
      </c>
      <c r="H8" s="13" t="n">
        <f aca="false">SUM(H2:H7)</f>
        <v>1</v>
      </c>
      <c r="I8" s="13" t="n">
        <f aca="false">SUM(I2:I7)</f>
        <v>850</v>
      </c>
      <c r="J8" s="13" t="n">
        <f aca="false">SUM(J2:J7)</f>
        <v>20</v>
      </c>
      <c r="K8" s="13" t="n">
        <f aca="false">SUM(K2:K7)</f>
        <v>0</v>
      </c>
      <c r="L8" s="13" t="n">
        <f aca="false">SUM(L2:L7)</f>
        <v>3</v>
      </c>
      <c r="M8" s="13" t="n">
        <f aca="false">SUM(M2:M7)</f>
        <v>5</v>
      </c>
      <c r="N8" s="13" t="n">
        <f aca="false">SUM(N2:N7)</f>
        <v>754</v>
      </c>
      <c r="O8" s="13" t="n">
        <f aca="false">SUM(O2:O7)</f>
        <v>593</v>
      </c>
      <c r="P8" s="13" t="n">
        <f aca="false">SUM(P2:P7)</f>
        <v>194</v>
      </c>
      <c r="Q8" s="13" t="n">
        <f aca="false">SUM(Q2:Q7)</f>
        <v>93</v>
      </c>
      <c r="R8" s="13" t="n">
        <f aca="false">SUM(R2:R7)</f>
        <v>44</v>
      </c>
      <c r="S8" s="13" t="n">
        <f aca="false">SUM(S2:S7)</f>
        <v>47</v>
      </c>
      <c r="T8" s="14" t="str">
        <f aca="false">IF(D8&gt;0,C8/D8,"")</f>
        <v/>
      </c>
      <c r="U8" s="15" t="n">
        <f aca="false">IF(C8&gt;0,F8/C8,"")</f>
        <v>0.0152534768954688</v>
      </c>
      <c r="V8" s="12" t="n">
        <f aca="false">IF(C8&gt;0,B8/C8*1000,"")</f>
        <v>64.6702557200538</v>
      </c>
      <c r="W8" s="12" t="n">
        <f aca="false">IF(F8&gt;0,B8/F8,"")</f>
        <v>4.23970588235294</v>
      </c>
      <c r="X8" s="12" t="n">
        <f aca="false">IF(H8&gt;0,B8/H8,"")</f>
        <v>288.3</v>
      </c>
      <c r="Y8" s="16" t="n">
        <f aca="false">IF(F8&gt;0,G8/F8,"")</f>
        <v>0.75</v>
      </c>
      <c r="Z8" s="16" t="n">
        <f aca="false">IF(G8&gt;0,H8/G8,"")</f>
        <v>0.0196078431372549</v>
      </c>
      <c r="AA8" s="15" t="n">
        <f aca="false">IF(C8&gt;0,I8/C8,"")</f>
        <v>0.19066846119336</v>
      </c>
      <c r="AB8" s="16" t="n">
        <f aca="false">IF(C8&gt;0,N8/C8,"")</f>
        <v>0.169134140870345</v>
      </c>
      <c r="AC8" s="16" t="n">
        <f aca="false">IF(N8&gt;0,R8/N8,"")</f>
        <v>0.0583554376657825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9" min="2" style="0" width="13"/>
  </cols>
  <sheetData>
    <row r="1" customFormat="false" ht="31.5" hidden="false" customHeight="true" outlineLevel="0" collapsed="false">
      <c r="A1" s="10" t="s">
        <v>143</v>
      </c>
      <c r="B1" s="10" t="s">
        <v>4</v>
      </c>
      <c r="C1" s="10" t="s">
        <v>5</v>
      </c>
      <c r="D1" s="10" t="s">
        <v>28</v>
      </c>
      <c r="E1" s="10" t="s">
        <v>29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10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11</v>
      </c>
      <c r="T1" s="10" t="s">
        <v>21</v>
      </c>
      <c r="U1" s="10" t="s">
        <v>12</v>
      </c>
      <c r="V1" s="10" t="s">
        <v>13</v>
      </c>
      <c r="W1" s="10" t="s">
        <v>14</v>
      </c>
      <c r="X1" s="10" t="s">
        <v>15</v>
      </c>
      <c r="Y1" s="10" t="s">
        <v>16</v>
      </c>
      <c r="Z1" s="10" t="s">
        <v>17</v>
      </c>
      <c r="AA1" s="10" t="s">
        <v>38</v>
      </c>
      <c r="AB1" s="10" t="s">
        <v>18</v>
      </c>
      <c r="AC1" s="10" t="s">
        <v>19</v>
      </c>
    </row>
    <row r="2" customFormat="false" ht="15" hidden="false" customHeight="false" outlineLevel="0" collapsed="false">
      <c r="A2" s="2" t="s">
        <v>144</v>
      </c>
      <c r="B2" s="4" t="n">
        <v>13.19</v>
      </c>
      <c r="C2" s="5" t="n">
        <v>203</v>
      </c>
      <c r="D2" s="5"/>
      <c r="E2" s="5" t="n">
        <v>3</v>
      </c>
      <c r="F2" s="5" t="n">
        <v>2</v>
      </c>
      <c r="G2" s="5" t="n">
        <v>2</v>
      </c>
      <c r="H2" s="5" t="n">
        <v>0</v>
      </c>
      <c r="I2" s="5" t="n">
        <v>34</v>
      </c>
      <c r="J2" s="5" t="n">
        <v>1</v>
      </c>
      <c r="K2" s="5" t="n">
        <v>0</v>
      </c>
      <c r="L2" s="5" t="n">
        <v>0</v>
      </c>
      <c r="M2" s="5" t="n">
        <v>0</v>
      </c>
      <c r="N2" s="5" t="n">
        <v>31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8" t="str">
        <f aca="false">IF(D2&gt;0,C2/D2,"")</f>
        <v/>
      </c>
      <c r="U2" s="6" t="n">
        <f aca="false">IF(C2&gt;0,F2/C2,"")</f>
        <v>0.00985221674876847</v>
      </c>
      <c r="V2" s="4" t="n">
        <f aca="false">IF(C2&gt;0,B2/C2*1000,"")</f>
        <v>64.9753694581281</v>
      </c>
      <c r="W2" s="4" t="n">
        <f aca="false">IF(F2&gt;0,B2/F2,"")</f>
        <v>6.595</v>
      </c>
      <c r="X2" s="4" t="str">
        <f aca="false">IF(H2&gt;0,B2/H2,"")</f>
        <v/>
      </c>
      <c r="Y2" s="7" t="n">
        <f aca="false">IF(F2&gt;0,G2/F2,"")</f>
        <v>1</v>
      </c>
      <c r="Z2" s="7" t="n">
        <f aca="false">IF(G2&gt;0,H2/G2,"")</f>
        <v>0</v>
      </c>
      <c r="AA2" s="6" t="n">
        <f aca="false">IF(C2&gt;0,I2/C2,"")</f>
        <v>0.167487684729064</v>
      </c>
      <c r="AB2" s="7" t="n">
        <f aca="false">IF(C2&gt;0,N2/C2,"")</f>
        <v>0.152709359605911</v>
      </c>
      <c r="AC2" s="7" t="n">
        <f aca="false">IF(N2&gt;0,R2/N2,"")</f>
        <v>0</v>
      </c>
    </row>
    <row r="3" customFormat="false" ht="15" hidden="false" customHeight="false" outlineLevel="0" collapsed="false">
      <c r="A3" s="2" t="s">
        <v>145</v>
      </c>
      <c r="B3" s="4" t="n">
        <v>11.01</v>
      </c>
      <c r="C3" s="5" t="n">
        <v>146</v>
      </c>
      <c r="D3" s="5"/>
      <c r="E3" s="5" t="n">
        <v>3</v>
      </c>
      <c r="F3" s="5" t="n">
        <v>2</v>
      </c>
      <c r="G3" s="5" t="n">
        <v>1</v>
      </c>
      <c r="H3" s="5" t="n">
        <v>0</v>
      </c>
      <c r="I3" s="5" t="n">
        <v>19</v>
      </c>
      <c r="J3" s="5" t="n">
        <v>2</v>
      </c>
      <c r="K3" s="5" t="n">
        <v>0</v>
      </c>
      <c r="L3" s="5" t="n">
        <v>0</v>
      </c>
      <c r="M3" s="5" t="n">
        <v>0</v>
      </c>
      <c r="N3" s="5" t="n">
        <v>15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8" t="str">
        <f aca="false">IF(D3&gt;0,C3/D3,"")</f>
        <v/>
      </c>
      <c r="U3" s="6" t="n">
        <f aca="false">IF(C3&gt;0,F3/C3,"")</f>
        <v>0.0136986301369863</v>
      </c>
      <c r="V3" s="4" t="n">
        <f aca="false">IF(C3&gt;0,B3/C3*1000,"")</f>
        <v>75.4109589041096</v>
      </c>
      <c r="W3" s="4" t="n">
        <f aca="false">IF(F3&gt;0,B3/F3,"")</f>
        <v>5.505</v>
      </c>
      <c r="X3" s="4" t="str">
        <f aca="false">IF(H3&gt;0,B3/H3,"")</f>
        <v/>
      </c>
      <c r="Y3" s="7" t="n">
        <f aca="false">IF(F3&gt;0,G3/F3,"")</f>
        <v>0.5</v>
      </c>
      <c r="Z3" s="7" t="n">
        <f aca="false">IF(G3&gt;0,H3/G3,"")</f>
        <v>0</v>
      </c>
      <c r="AA3" s="6" t="n">
        <f aca="false">IF(C3&gt;0,I3/C3,"")</f>
        <v>0.13013698630137</v>
      </c>
      <c r="AB3" s="7" t="n">
        <f aca="false">IF(C3&gt;0,N3/C3,"")</f>
        <v>0.102739726027397</v>
      </c>
      <c r="AC3" s="7" t="n">
        <f aca="false">IF(N3&gt;0,R3/N3,"")</f>
        <v>0</v>
      </c>
    </row>
    <row r="4" customFormat="false" ht="15" hidden="false" customHeight="false" outlineLevel="0" collapsed="false">
      <c r="A4" s="2" t="s">
        <v>146</v>
      </c>
      <c r="B4" s="4" t="n">
        <v>8.4</v>
      </c>
      <c r="C4" s="5" t="n">
        <v>114</v>
      </c>
      <c r="D4" s="5"/>
      <c r="E4" s="5" t="n">
        <v>1</v>
      </c>
      <c r="F4" s="5" t="n">
        <v>2</v>
      </c>
      <c r="G4" s="5" t="n">
        <v>2</v>
      </c>
      <c r="H4" s="5" t="n">
        <v>0</v>
      </c>
      <c r="I4" s="5" t="n">
        <v>31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29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8" t="str">
        <f aca="false">IF(D4&gt;0,C4/D4,"")</f>
        <v/>
      </c>
      <c r="U4" s="6" t="n">
        <f aca="false">IF(C4&gt;0,F4/C4,"")</f>
        <v>0.0175438596491228</v>
      </c>
      <c r="V4" s="4" t="n">
        <f aca="false">IF(C4&gt;0,B4/C4*1000,"")</f>
        <v>73.6842105263158</v>
      </c>
      <c r="W4" s="4" t="n">
        <f aca="false">IF(F4&gt;0,B4/F4,"")</f>
        <v>4.2</v>
      </c>
      <c r="X4" s="4" t="str">
        <f aca="false">IF(H4&gt;0,B4/H4,"")</f>
        <v/>
      </c>
      <c r="Y4" s="7" t="n">
        <f aca="false">IF(F4&gt;0,G4/F4,"")</f>
        <v>1</v>
      </c>
      <c r="Z4" s="7" t="n">
        <f aca="false">IF(G4&gt;0,H4/G4,"")</f>
        <v>0</v>
      </c>
      <c r="AA4" s="6" t="n">
        <f aca="false">IF(C4&gt;0,I4/C4,"")</f>
        <v>0.271929824561404</v>
      </c>
      <c r="AB4" s="7" t="n">
        <f aca="false">IF(C4&gt;0,N4/C4,"")</f>
        <v>0.254385964912281</v>
      </c>
      <c r="AC4" s="7" t="n">
        <f aca="false">IF(N4&gt;0,R4/N4,"")</f>
        <v>0</v>
      </c>
    </row>
    <row r="5" customFormat="false" ht="15" hidden="false" customHeight="false" outlineLevel="0" collapsed="false">
      <c r="A5" s="2" t="s">
        <v>147</v>
      </c>
      <c r="B5" s="4" t="n">
        <v>8.22</v>
      </c>
      <c r="C5" s="5" t="n">
        <v>79</v>
      </c>
      <c r="D5" s="5"/>
      <c r="E5" s="5" t="n">
        <v>2</v>
      </c>
      <c r="F5" s="5" t="n">
        <v>1</v>
      </c>
      <c r="G5" s="5" t="n">
        <v>0</v>
      </c>
      <c r="H5" s="5" t="n">
        <v>0</v>
      </c>
      <c r="I5" s="5" t="n">
        <v>13</v>
      </c>
      <c r="J5" s="5" t="n">
        <v>1</v>
      </c>
      <c r="K5" s="5" t="n">
        <v>0</v>
      </c>
      <c r="L5" s="5" t="n">
        <v>0</v>
      </c>
      <c r="M5" s="5" t="n">
        <v>0</v>
      </c>
      <c r="N5" s="5" t="n">
        <v>11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8" t="str">
        <f aca="false">IF(D5&gt;0,C5/D5,"")</f>
        <v/>
      </c>
      <c r="U5" s="6" t="n">
        <f aca="false">IF(C5&gt;0,F5/C5,"")</f>
        <v>0.0126582278481013</v>
      </c>
      <c r="V5" s="4" t="n">
        <f aca="false">IF(C5&gt;0,B5/C5*1000,"")</f>
        <v>104.050632911392</v>
      </c>
      <c r="W5" s="4" t="n">
        <f aca="false">IF(F5&gt;0,B5/F5,"")</f>
        <v>8.22</v>
      </c>
      <c r="X5" s="4" t="str">
        <f aca="false">IF(H5&gt;0,B5/H5,"")</f>
        <v/>
      </c>
      <c r="Y5" s="7" t="n">
        <f aca="false">IF(F5&gt;0,G5/F5,"")</f>
        <v>0</v>
      </c>
      <c r="Z5" s="7" t="str">
        <f aca="false">IF(G5&gt;0,H5/G5,"")</f>
        <v/>
      </c>
      <c r="AA5" s="6" t="n">
        <f aca="false">IF(C5&gt;0,I5/C5,"")</f>
        <v>0.164556962025316</v>
      </c>
      <c r="AB5" s="7" t="n">
        <f aca="false">IF(C5&gt;0,N5/C5,"")</f>
        <v>0.139240506329114</v>
      </c>
      <c r="AC5" s="7" t="n">
        <f aca="false">IF(N5&gt;0,R5/N5,"")</f>
        <v>0</v>
      </c>
    </row>
    <row r="6" customFormat="false" ht="15" hidden="false" customHeight="false" outlineLevel="0" collapsed="false">
      <c r="A6" s="2" t="s">
        <v>148</v>
      </c>
      <c r="B6" s="4" t="n">
        <v>7.11</v>
      </c>
      <c r="C6" s="5" t="n">
        <v>75</v>
      </c>
      <c r="D6" s="5"/>
      <c r="E6" s="5" t="n">
        <v>2</v>
      </c>
      <c r="F6" s="5" t="n">
        <v>2</v>
      </c>
      <c r="G6" s="5" t="n">
        <v>2</v>
      </c>
      <c r="H6" s="5" t="n">
        <v>0</v>
      </c>
      <c r="I6" s="5" t="n">
        <v>10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8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8" t="str">
        <f aca="false">IF(D6&gt;0,C6/D6,"")</f>
        <v/>
      </c>
      <c r="U6" s="6" t="n">
        <f aca="false">IF(C6&gt;0,F6/C6,"")</f>
        <v>0.0266666666666667</v>
      </c>
      <c r="V6" s="4" t="n">
        <f aca="false">IF(C6&gt;0,B6/C6*1000,"")</f>
        <v>94.8</v>
      </c>
      <c r="W6" s="4" t="n">
        <f aca="false">IF(F6&gt;0,B6/F6,"")</f>
        <v>3.555</v>
      </c>
      <c r="X6" s="4" t="str">
        <f aca="false">IF(H6&gt;0,B6/H6,"")</f>
        <v/>
      </c>
      <c r="Y6" s="7" t="n">
        <f aca="false">IF(F6&gt;0,G6/F6,"")</f>
        <v>1</v>
      </c>
      <c r="Z6" s="7" t="n">
        <f aca="false">IF(G6&gt;0,H6/G6,"")</f>
        <v>0</v>
      </c>
      <c r="AA6" s="6" t="n">
        <f aca="false">IF(C6&gt;0,I6/C6,"")</f>
        <v>0.133333333333333</v>
      </c>
      <c r="AB6" s="7" t="n">
        <f aca="false">IF(C6&gt;0,N6/C6,"")</f>
        <v>0.106666666666667</v>
      </c>
      <c r="AC6" s="7" t="n">
        <f aca="false">IF(N6&gt;0,R6/N6,"")</f>
        <v>0</v>
      </c>
    </row>
    <row r="7" customFormat="false" ht="15" hidden="false" customHeight="false" outlineLevel="0" collapsed="false">
      <c r="A7" s="2" t="s">
        <v>149</v>
      </c>
      <c r="B7" s="4" t="n">
        <v>9.08</v>
      </c>
      <c r="C7" s="5" t="n">
        <v>89</v>
      </c>
      <c r="D7" s="5"/>
      <c r="E7" s="5" t="n">
        <v>2</v>
      </c>
      <c r="F7" s="5" t="n">
        <v>2</v>
      </c>
      <c r="G7" s="5" t="n">
        <v>1</v>
      </c>
      <c r="H7" s="5" t="n">
        <v>0</v>
      </c>
      <c r="I7" s="5" t="n">
        <v>17</v>
      </c>
      <c r="J7" s="5" t="n">
        <v>1</v>
      </c>
      <c r="K7" s="5" t="n">
        <v>0</v>
      </c>
      <c r="L7" s="5" t="n">
        <v>0</v>
      </c>
      <c r="M7" s="5" t="n">
        <v>0</v>
      </c>
      <c r="N7" s="5" t="n">
        <v>14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8" t="str">
        <f aca="false">IF(D7&gt;0,C7/D7,"")</f>
        <v/>
      </c>
      <c r="U7" s="6" t="n">
        <f aca="false">IF(C7&gt;0,F7/C7,"")</f>
        <v>0.0224719101123596</v>
      </c>
      <c r="V7" s="4" t="n">
        <f aca="false">IF(C7&gt;0,B7/C7*1000,"")</f>
        <v>102.022471910112</v>
      </c>
      <c r="W7" s="4" t="n">
        <f aca="false">IF(F7&gt;0,B7/F7,"")</f>
        <v>4.54</v>
      </c>
      <c r="X7" s="4" t="str">
        <f aca="false">IF(H7&gt;0,B7/H7,"")</f>
        <v/>
      </c>
      <c r="Y7" s="7" t="n">
        <f aca="false">IF(F7&gt;0,G7/F7,"")</f>
        <v>0.5</v>
      </c>
      <c r="Z7" s="7" t="n">
        <f aca="false">IF(G7&gt;0,H7/G7,"")</f>
        <v>0</v>
      </c>
      <c r="AA7" s="6" t="n">
        <f aca="false">IF(C7&gt;0,I7/C7,"")</f>
        <v>0.191011235955056</v>
      </c>
      <c r="AB7" s="7" t="n">
        <f aca="false">IF(C7&gt;0,N7/C7,"")</f>
        <v>0.157303370786517</v>
      </c>
      <c r="AC7" s="7" t="n">
        <f aca="false">IF(N7&gt;0,R7/N7,"")</f>
        <v>0</v>
      </c>
    </row>
    <row r="8" customFormat="false" ht="15" hidden="false" customHeight="false" outlineLevel="0" collapsed="false">
      <c r="A8" s="2" t="s">
        <v>150</v>
      </c>
      <c r="B8" s="4" t="n">
        <v>8.41</v>
      </c>
      <c r="C8" s="5" t="n">
        <v>122</v>
      </c>
      <c r="D8" s="5"/>
      <c r="E8" s="5" t="n">
        <v>1</v>
      </c>
      <c r="F8" s="5" t="n">
        <v>1</v>
      </c>
      <c r="G8" s="5" t="n">
        <v>0</v>
      </c>
      <c r="H8" s="5" t="n">
        <v>0</v>
      </c>
      <c r="I8" s="5" t="n">
        <v>21</v>
      </c>
      <c r="J8" s="5" t="n">
        <v>0</v>
      </c>
      <c r="K8" s="5" t="n">
        <v>0</v>
      </c>
      <c r="L8" s="5" t="n">
        <v>1</v>
      </c>
      <c r="M8" s="5" t="n">
        <v>0</v>
      </c>
      <c r="N8" s="5" t="n">
        <v>19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8" t="str">
        <f aca="false">IF(D8&gt;0,C8/D8,"")</f>
        <v/>
      </c>
      <c r="U8" s="6" t="n">
        <f aca="false">IF(C8&gt;0,F8/C8,"")</f>
        <v>0.00819672131147541</v>
      </c>
      <c r="V8" s="4" t="n">
        <f aca="false">IF(C8&gt;0,B8/C8*1000,"")</f>
        <v>68.9344262295082</v>
      </c>
      <c r="W8" s="4" t="n">
        <f aca="false">IF(F8&gt;0,B8/F8,"")</f>
        <v>8.41</v>
      </c>
      <c r="X8" s="4" t="str">
        <f aca="false">IF(H8&gt;0,B8/H8,"")</f>
        <v/>
      </c>
      <c r="Y8" s="7" t="n">
        <f aca="false">IF(F8&gt;0,G8/F8,"")</f>
        <v>0</v>
      </c>
      <c r="Z8" s="7" t="str">
        <f aca="false">IF(G8&gt;0,H8/G8,"")</f>
        <v/>
      </c>
      <c r="AA8" s="6" t="n">
        <f aca="false">IF(C8&gt;0,I8/C8,"")</f>
        <v>0.172131147540984</v>
      </c>
      <c r="AB8" s="7" t="n">
        <f aca="false">IF(C8&gt;0,N8/C8,"")</f>
        <v>0.155737704918033</v>
      </c>
      <c r="AC8" s="7" t="n">
        <f aca="false">IF(N8&gt;0,R8/N8,"")</f>
        <v>0</v>
      </c>
    </row>
    <row r="9" customFormat="false" ht="15" hidden="false" customHeight="false" outlineLevel="0" collapsed="false">
      <c r="A9" s="2" t="s">
        <v>151</v>
      </c>
      <c r="B9" s="4" t="n">
        <v>12.88</v>
      </c>
      <c r="C9" s="5" t="n">
        <v>144</v>
      </c>
      <c r="D9" s="5"/>
      <c r="E9" s="5" t="n">
        <v>3</v>
      </c>
      <c r="F9" s="5" t="n">
        <v>1</v>
      </c>
      <c r="G9" s="5" t="n">
        <v>0</v>
      </c>
      <c r="H9" s="5" t="n">
        <v>0</v>
      </c>
      <c r="I9" s="5" t="n">
        <v>26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25</v>
      </c>
      <c r="O9" s="5" t="n">
        <v>0</v>
      </c>
      <c r="P9" s="5" t="n">
        <v>0</v>
      </c>
      <c r="Q9" s="5" t="n">
        <v>0</v>
      </c>
      <c r="R9" s="5" t="n">
        <v>0</v>
      </c>
      <c r="S9" s="5" t="n">
        <v>0</v>
      </c>
      <c r="T9" s="8" t="str">
        <f aca="false">IF(D9&gt;0,C9/D9,"")</f>
        <v/>
      </c>
      <c r="U9" s="6" t="n">
        <f aca="false">IF(C9&gt;0,F9/C9,"")</f>
        <v>0.00694444444444444</v>
      </c>
      <c r="V9" s="4" t="n">
        <f aca="false">IF(C9&gt;0,B9/C9*1000,"")</f>
        <v>89.4444444444445</v>
      </c>
      <c r="W9" s="4" t="n">
        <f aca="false">IF(F9&gt;0,B9/F9,"")</f>
        <v>12.88</v>
      </c>
      <c r="X9" s="4" t="str">
        <f aca="false">IF(H9&gt;0,B9/H9,"")</f>
        <v/>
      </c>
      <c r="Y9" s="7" t="n">
        <f aca="false">IF(F9&gt;0,G9/F9,"")</f>
        <v>0</v>
      </c>
      <c r="Z9" s="7" t="str">
        <f aca="false">IF(G9&gt;0,H9/G9,"")</f>
        <v/>
      </c>
      <c r="AA9" s="6" t="n">
        <f aca="false">IF(C9&gt;0,I9/C9,"")</f>
        <v>0.180555555555556</v>
      </c>
      <c r="AB9" s="7" t="n">
        <f aca="false">IF(C9&gt;0,N9/C9,"")</f>
        <v>0.173611111111111</v>
      </c>
      <c r="AC9" s="7" t="n">
        <f aca="false">IF(N9&gt;0,R9/N9,"")</f>
        <v>0</v>
      </c>
    </row>
    <row r="10" customFormat="false" ht="15" hidden="false" customHeight="false" outlineLevel="0" collapsed="false">
      <c r="A10" s="2" t="s">
        <v>152</v>
      </c>
      <c r="B10" s="4" t="n">
        <v>17.24</v>
      </c>
      <c r="C10" s="5" t="n">
        <v>193</v>
      </c>
      <c r="D10" s="5"/>
      <c r="E10" s="5" t="n">
        <v>5</v>
      </c>
      <c r="F10" s="5" t="n">
        <v>3</v>
      </c>
      <c r="G10" s="5" t="n">
        <v>1</v>
      </c>
      <c r="H10" s="5" t="n">
        <v>0</v>
      </c>
      <c r="I10" s="5" t="n">
        <v>46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43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8" t="str">
        <f aca="false">IF(D10&gt;0,C10/D10,"")</f>
        <v/>
      </c>
      <c r="U10" s="6" t="n">
        <f aca="false">IF(C10&gt;0,F10/C10,"")</f>
        <v>0.0155440414507772</v>
      </c>
      <c r="V10" s="4" t="n">
        <f aca="false">IF(C10&gt;0,B10/C10*1000,"")</f>
        <v>89.3264248704663</v>
      </c>
      <c r="W10" s="4" t="n">
        <f aca="false">IF(F10&gt;0,B10/F10,"")</f>
        <v>5.74666666666667</v>
      </c>
      <c r="X10" s="4" t="str">
        <f aca="false">IF(H10&gt;0,B10/H10,"")</f>
        <v/>
      </c>
      <c r="Y10" s="7" t="n">
        <f aca="false">IF(F10&gt;0,G10/F10,"")</f>
        <v>0.333333333333333</v>
      </c>
      <c r="Z10" s="7" t="n">
        <f aca="false">IF(G10&gt;0,H10/G10,"")</f>
        <v>0</v>
      </c>
      <c r="AA10" s="6" t="n">
        <f aca="false">IF(C10&gt;0,I10/C10,"")</f>
        <v>0.238341968911917</v>
      </c>
      <c r="AB10" s="7" t="n">
        <f aca="false">IF(C10&gt;0,N10/C10,"")</f>
        <v>0.22279792746114</v>
      </c>
      <c r="AC10" s="7" t="n">
        <f aca="false">IF(N10&gt;0,R10/N10,"")</f>
        <v>0</v>
      </c>
    </row>
    <row r="11" customFormat="false" ht="15" hidden="false" customHeight="false" outlineLevel="0" collapsed="false">
      <c r="A11" s="2" t="s">
        <v>153</v>
      </c>
      <c r="B11" s="4" t="n">
        <v>16.29</v>
      </c>
      <c r="C11" s="5" t="n">
        <v>149</v>
      </c>
      <c r="D11" s="5"/>
      <c r="E11" s="5" t="n">
        <v>7</v>
      </c>
      <c r="F11" s="5" t="n">
        <v>4</v>
      </c>
      <c r="G11" s="5" t="n">
        <v>4</v>
      </c>
      <c r="H11" s="5" t="n">
        <v>0</v>
      </c>
      <c r="I11" s="5" t="n">
        <v>45</v>
      </c>
      <c r="J11" s="5" t="n">
        <v>4</v>
      </c>
      <c r="K11" s="5" t="n">
        <v>0</v>
      </c>
      <c r="L11" s="5" t="n">
        <v>0</v>
      </c>
      <c r="M11" s="5" t="n">
        <v>1</v>
      </c>
      <c r="N11" s="5" t="n">
        <v>36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8" t="str">
        <f aca="false">IF(D11&gt;0,C11/D11,"")</f>
        <v/>
      </c>
      <c r="U11" s="6" t="n">
        <f aca="false">IF(C11&gt;0,F11/C11,"")</f>
        <v>0.0268456375838926</v>
      </c>
      <c r="V11" s="4" t="n">
        <f aca="false">IF(C11&gt;0,B11/C11*1000,"")</f>
        <v>109.328859060403</v>
      </c>
      <c r="W11" s="4" t="n">
        <f aca="false">IF(F11&gt;0,B11/F11,"")</f>
        <v>4.0725</v>
      </c>
      <c r="X11" s="4" t="str">
        <f aca="false">IF(H11&gt;0,B11/H11,"")</f>
        <v/>
      </c>
      <c r="Y11" s="7" t="n">
        <f aca="false">IF(F11&gt;0,G11/F11,"")</f>
        <v>1</v>
      </c>
      <c r="Z11" s="7" t="n">
        <f aca="false">IF(G11&gt;0,H11/G11,"")</f>
        <v>0</v>
      </c>
      <c r="AA11" s="6" t="n">
        <f aca="false">IF(C11&gt;0,I11/C11,"")</f>
        <v>0.302013422818792</v>
      </c>
      <c r="AB11" s="7" t="n">
        <f aca="false">IF(C11&gt;0,N11/C11,"")</f>
        <v>0.241610738255034</v>
      </c>
      <c r="AC11" s="7" t="n">
        <f aca="false">IF(N11&gt;0,R11/N11,"")</f>
        <v>0</v>
      </c>
    </row>
    <row r="12" customFormat="false" ht="15" hidden="false" customHeight="false" outlineLevel="0" collapsed="false">
      <c r="A12" s="2" t="s">
        <v>154</v>
      </c>
      <c r="B12" s="4" t="n">
        <v>18.08</v>
      </c>
      <c r="C12" s="5" t="n">
        <v>237</v>
      </c>
      <c r="D12" s="5"/>
      <c r="E12" s="5" t="n">
        <v>1</v>
      </c>
      <c r="F12" s="5" t="n">
        <v>1</v>
      </c>
      <c r="G12" s="5" t="n">
        <v>1</v>
      </c>
      <c r="H12" s="5" t="n">
        <v>0</v>
      </c>
      <c r="I12" s="5" t="n">
        <v>31</v>
      </c>
      <c r="J12" s="5" t="n">
        <v>1</v>
      </c>
      <c r="K12" s="5" t="n">
        <v>0</v>
      </c>
      <c r="L12" s="5" t="n">
        <v>0</v>
      </c>
      <c r="M12" s="5" t="n">
        <v>0</v>
      </c>
      <c r="N12" s="5" t="n">
        <v>29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8" t="str">
        <f aca="false">IF(D12&gt;0,C12/D12,"")</f>
        <v/>
      </c>
      <c r="U12" s="6" t="n">
        <f aca="false">IF(C12&gt;0,F12/C12,"")</f>
        <v>0.00421940928270042</v>
      </c>
      <c r="V12" s="4" t="n">
        <f aca="false">IF(C12&gt;0,B12/C12*1000,"")</f>
        <v>76.2869198312236</v>
      </c>
      <c r="W12" s="4" t="n">
        <f aca="false">IF(F12&gt;0,B12/F12,"")</f>
        <v>18.08</v>
      </c>
      <c r="X12" s="4" t="str">
        <f aca="false">IF(H12&gt;0,B12/H12,"")</f>
        <v/>
      </c>
      <c r="Y12" s="7" t="n">
        <f aca="false">IF(F12&gt;0,G12/F12,"")</f>
        <v>1</v>
      </c>
      <c r="Z12" s="7" t="n">
        <f aca="false">IF(G12&gt;0,H12/G12,"")</f>
        <v>0</v>
      </c>
      <c r="AA12" s="6" t="n">
        <f aca="false">IF(C12&gt;0,I12/C12,"")</f>
        <v>0.130801687763713</v>
      </c>
      <c r="AB12" s="7" t="n">
        <f aca="false">IF(C12&gt;0,N12/C12,"")</f>
        <v>0.122362869198312</v>
      </c>
      <c r="AC12" s="7" t="n">
        <f aca="false">IF(N12&gt;0,R12/N12,"")</f>
        <v>0</v>
      </c>
    </row>
    <row r="13" customFormat="false" ht="15" hidden="false" customHeight="false" outlineLevel="0" collapsed="false">
      <c r="A13" s="2" t="s">
        <v>155</v>
      </c>
      <c r="B13" s="4" t="n">
        <v>15.2</v>
      </c>
      <c r="C13" s="5" t="n">
        <v>199</v>
      </c>
      <c r="D13" s="5"/>
      <c r="E13" s="5" t="n">
        <v>3</v>
      </c>
      <c r="F13" s="5" t="n">
        <v>2</v>
      </c>
      <c r="G13" s="5" t="n">
        <v>1</v>
      </c>
      <c r="H13" s="5" t="n">
        <v>0</v>
      </c>
      <c r="I13" s="5" t="n">
        <v>43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41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8" t="str">
        <f aca="false">IF(D13&gt;0,C13/D13,"")</f>
        <v/>
      </c>
      <c r="U13" s="6" t="n">
        <f aca="false">IF(C13&gt;0,F13/C13,"")</f>
        <v>0.0100502512562814</v>
      </c>
      <c r="V13" s="4" t="n">
        <f aca="false">IF(C13&gt;0,B13/C13*1000,"")</f>
        <v>76.3819095477387</v>
      </c>
      <c r="W13" s="4" t="n">
        <f aca="false">IF(F13&gt;0,B13/F13,"")</f>
        <v>7.6</v>
      </c>
      <c r="X13" s="4" t="str">
        <f aca="false">IF(H13&gt;0,B13/H13,"")</f>
        <v/>
      </c>
      <c r="Y13" s="7" t="n">
        <f aca="false">IF(F13&gt;0,G13/F13,"")</f>
        <v>0.5</v>
      </c>
      <c r="Z13" s="7" t="n">
        <f aca="false">IF(G13&gt;0,H13/G13,"")</f>
        <v>0</v>
      </c>
      <c r="AA13" s="6" t="n">
        <f aca="false">IF(C13&gt;0,I13/C13,"")</f>
        <v>0.21608040201005</v>
      </c>
      <c r="AB13" s="7" t="n">
        <f aca="false">IF(C13&gt;0,N13/C13,"")</f>
        <v>0.206030150753769</v>
      </c>
      <c r="AC13" s="7" t="n">
        <f aca="false">IF(N13&gt;0,R13/N13,"")</f>
        <v>0</v>
      </c>
    </row>
    <row r="14" customFormat="false" ht="15" hidden="false" customHeight="false" outlineLevel="0" collapsed="false">
      <c r="A14" s="2" t="s">
        <v>156</v>
      </c>
      <c r="B14" s="4" t="n">
        <v>12.49</v>
      </c>
      <c r="C14" s="5" t="n">
        <v>190</v>
      </c>
      <c r="D14" s="5"/>
      <c r="E14" s="5" t="n">
        <v>4</v>
      </c>
      <c r="F14" s="5" t="n">
        <v>2</v>
      </c>
      <c r="G14" s="5" t="n">
        <v>2</v>
      </c>
      <c r="H14" s="5" t="n">
        <v>0</v>
      </c>
      <c r="I14" s="5" t="n">
        <v>27</v>
      </c>
      <c r="J14" s="5" t="n">
        <v>1</v>
      </c>
      <c r="K14" s="5" t="n">
        <v>0</v>
      </c>
      <c r="L14" s="5" t="n">
        <v>0</v>
      </c>
      <c r="M14" s="5" t="n">
        <v>0</v>
      </c>
      <c r="N14" s="5" t="n">
        <v>24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8" t="str">
        <f aca="false">IF(D14&gt;0,C14/D14,"")</f>
        <v/>
      </c>
      <c r="U14" s="6" t="n">
        <f aca="false">IF(C14&gt;0,F14/C14,"")</f>
        <v>0.0105263157894737</v>
      </c>
      <c r="V14" s="4" t="n">
        <f aca="false">IF(C14&gt;0,B14/C14*1000,"")</f>
        <v>65.7368421052632</v>
      </c>
      <c r="W14" s="4" t="n">
        <f aca="false">IF(F14&gt;0,B14/F14,"")</f>
        <v>6.245</v>
      </c>
      <c r="X14" s="4" t="str">
        <f aca="false">IF(H14&gt;0,B14/H14,"")</f>
        <v/>
      </c>
      <c r="Y14" s="7" t="n">
        <f aca="false">IF(F14&gt;0,G14/F14,"")</f>
        <v>1</v>
      </c>
      <c r="Z14" s="7" t="n">
        <f aca="false">IF(G14&gt;0,H14/G14,"")</f>
        <v>0</v>
      </c>
      <c r="AA14" s="6" t="n">
        <f aca="false">IF(C14&gt;0,I14/C14,"")</f>
        <v>0.142105263157895</v>
      </c>
      <c r="AB14" s="7" t="n">
        <f aca="false">IF(C14&gt;0,N14/C14,"")</f>
        <v>0.126315789473684</v>
      </c>
      <c r="AC14" s="7" t="n">
        <f aca="false">IF(N14&gt;0,R14/N14,"")</f>
        <v>0</v>
      </c>
    </row>
    <row r="15" customFormat="false" ht="15" hidden="false" customHeight="false" outlineLevel="0" collapsed="false">
      <c r="A15" s="2" t="s">
        <v>157</v>
      </c>
      <c r="B15" s="4" t="n">
        <v>7.66</v>
      </c>
      <c r="C15" s="5" t="n">
        <v>146</v>
      </c>
      <c r="D15" s="5"/>
      <c r="E15" s="5" t="n">
        <v>2</v>
      </c>
      <c r="F15" s="5" t="n">
        <v>2</v>
      </c>
      <c r="G15" s="5" t="n">
        <v>2</v>
      </c>
      <c r="H15" s="5" t="n">
        <v>0</v>
      </c>
      <c r="I15" s="5" t="n">
        <v>25</v>
      </c>
      <c r="J15" s="5" t="n">
        <v>0</v>
      </c>
      <c r="K15" s="5" t="n">
        <v>0</v>
      </c>
      <c r="L15" s="5" t="n">
        <v>0</v>
      </c>
      <c r="M15" s="5" t="n">
        <v>1</v>
      </c>
      <c r="N15" s="5" t="n">
        <v>22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8" t="str">
        <f aca="false">IF(D15&gt;0,C15/D15,"")</f>
        <v/>
      </c>
      <c r="U15" s="6" t="n">
        <f aca="false">IF(C15&gt;0,F15/C15,"")</f>
        <v>0.0136986301369863</v>
      </c>
      <c r="V15" s="4" t="n">
        <f aca="false">IF(C15&gt;0,B15/C15*1000,"")</f>
        <v>52.4657534246575</v>
      </c>
      <c r="W15" s="4" t="n">
        <f aca="false">IF(F15&gt;0,B15/F15,"")</f>
        <v>3.83</v>
      </c>
      <c r="X15" s="4" t="str">
        <f aca="false">IF(H15&gt;0,B15/H15,"")</f>
        <v/>
      </c>
      <c r="Y15" s="7" t="n">
        <f aca="false">IF(F15&gt;0,G15/F15,"")</f>
        <v>1</v>
      </c>
      <c r="Z15" s="7" t="n">
        <f aca="false">IF(G15&gt;0,H15/G15,"")</f>
        <v>0</v>
      </c>
      <c r="AA15" s="6" t="n">
        <f aca="false">IF(C15&gt;0,I15/C15,"")</f>
        <v>0.171232876712329</v>
      </c>
      <c r="AB15" s="7" t="n">
        <f aca="false">IF(C15&gt;0,N15/C15,"")</f>
        <v>0.150684931506849</v>
      </c>
      <c r="AC15" s="7" t="n">
        <f aca="false">IF(N15&gt;0,R15/N15,"")</f>
        <v>0</v>
      </c>
    </row>
    <row r="16" customFormat="false" ht="15" hidden="false" customHeight="false" outlineLevel="0" collapsed="false">
      <c r="A16" s="2" t="s">
        <v>158</v>
      </c>
      <c r="B16" s="4" t="n">
        <v>7.17</v>
      </c>
      <c r="C16" s="5" t="n">
        <v>140</v>
      </c>
      <c r="D16" s="5"/>
      <c r="E16" s="5" t="n">
        <v>3</v>
      </c>
      <c r="F16" s="5" t="n">
        <v>2</v>
      </c>
      <c r="G16" s="5" t="n">
        <v>2</v>
      </c>
      <c r="H16" s="5" t="n">
        <v>0</v>
      </c>
      <c r="I16" s="5" t="n">
        <v>34</v>
      </c>
      <c r="J16" s="5" t="n">
        <v>2</v>
      </c>
      <c r="K16" s="5" t="n">
        <v>0</v>
      </c>
      <c r="L16" s="5" t="n">
        <v>0</v>
      </c>
      <c r="M16" s="5" t="n">
        <v>1</v>
      </c>
      <c r="N16" s="5" t="n">
        <v>29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8" t="str">
        <f aca="false">IF(D16&gt;0,C16/D16,"")</f>
        <v/>
      </c>
      <c r="U16" s="6" t="n">
        <f aca="false">IF(C16&gt;0,F16/C16,"")</f>
        <v>0.0142857142857143</v>
      </c>
      <c r="V16" s="4" t="n">
        <f aca="false">IF(C16&gt;0,B16/C16*1000,"")</f>
        <v>51.2142857142857</v>
      </c>
      <c r="W16" s="4" t="n">
        <f aca="false">IF(F16&gt;0,B16/F16,"")</f>
        <v>3.585</v>
      </c>
      <c r="X16" s="4" t="str">
        <f aca="false">IF(H16&gt;0,B16/H16,"")</f>
        <v/>
      </c>
      <c r="Y16" s="7" t="n">
        <f aca="false">IF(F16&gt;0,G16/F16,"")</f>
        <v>1</v>
      </c>
      <c r="Z16" s="7" t="n">
        <f aca="false">IF(G16&gt;0,H16/G16,"")</f>
        <v>0</v>
      </c>
      <c r="AA16" s="6" t="n">
        <f aca="false">IF(C16&gt;0,I16/C16,"")</f>
        <v>0.242857142857143</v>
      </c>
      <c r="AB16" s="7" t="n">
        <f aca="false">IF(C16&gt;0,N16/C16,"")</f>
        <v>0.207142857142857</v>
      </c>
      <c r="AC16" s="7" t="n">
        <f aca="false">IF(N16&gt;0,R16/N16,"")</f>
        <v>0</v>
      </c>
    </row>
    <row r="17" customFormat="false" ht="15" hidden="false" customHeight="false" outlineLevel="0" collapsed="false">
      <c r="A17" s="2" t="s">
        <v>159</v>
      </c>
      <c r="B17" s="4" t="n">
        <v>9.03</v>
      </c>
      <c r="C17" s="5" t="n">
        <v>178</v>
      </c>
      <c r="D17" s="5"/>
      <c r="E17" s="5" t="n">
        <v>1</v>
      </c>
      <c r="F17" s="5" t="n">
        <v>1</v>
      </c>
      <c r="G17" s="5" t="n">
        <v>1</v>
      </c>
      <c r="H17" s="5" t="n">
        <v>0</v>
      </c>
      <c r="I17" s="5" t="n">
        <v>30</v>
      </c>
      <c r="J17" s="5" t="n">
        <v>1</v>
      </c>
      <c r="K17" s="5" t="n">
        <v>0</v>
      </c>
      <c r="L17" s="5" t="n">
        <v>0</v>
      </c>
      <c r="M17" s="5" t="n">
        <v>0</v>
      </c>
      <c r="N17" s="5" t="n">
        <v>28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8" t="str">
        <f aca="false">IF(D17&gt;0,C17/D17,"")</f>
        <v/>
      </c>
      <c r="U17" s="6" t="n">
        <f aca="false">IF(C17&gt;0,F17/C17,"")</f>
        <v>0.00561797752808989</v>
      </c>
      <c r="V17" s="4" t="n">
        <f aca="false">IF(C17&gt;0,B17/C17*1000,"")</f>
        <v>50.7303370786517</v>
      </c>
      <c r="W17" s="4" t="n">
        <f aca="false">IF(F17&gt;0,B17/F17,"")</f>
        <v>9.03</v>
      </c>
      <c r="X17" s="4" t="str">
        <f aca="false">IF(H17&gt;0,B17/H17,"")</f>
        <v/>
      </c>
      <c r="Y17" s="7" t="n">
        <f aca="false">IF(F17&gt;0,G17/F17,"")</f>
        <v>1</v>
      </c>
      <c r="Z17" s="7" t="n">
        <f aca="false">IF(G17&gt;0,H17/G17,"")</f>
        <v>0</v>
      </c>
      <c r="AA17" s="6" t="n">
        <f aca="false">IF(C17&gt;0,I17/C17,"")</f>
        <v>0.168539325842697</v>
      </c>
      <c r="AB17" s="7" t="n">
        <f aca="false">IF(C17&gt;0,N17/C17,"")</f>
        <v>0.157303370786517</v>
      </c>
      <c r="AC17" s="7" t="n">
        <f aca="false">IF(N17&gt;0,R17/N17,"")</f>
        <v>0</v>
      </c>
    </row>
    <row r="18" customFormat="false" ht="15" hidden="false" customHeight="false" outlineLevel="0" collapsed="false">
      <c r="A18" s="2" t="s">
        <v>160</v>
      </c>
      <c r="B18" s="4" t="n">
        <v>11.81</v>
      </c>
      <c r="C18" s="5" t="n">
        <v>225</v>
      </c>
      <c r="D18" s="5"/>
      <c r="E18" s="5" t="n">
        <v>5</v>
      </c>
      <c r="F18" s="5" t="n">
        <v>5</v>
      </c>
      <c r="G18" s="5" t="n">
        <v>3</v>
      </c>
      <c r="H18" s="5" t="n">
        <v>0</v>
      </c>
      <c r="I18" s="5" t="n">
        <v>33</v>
      </c>
      <c r="J18" s="5" t="n">
        <v>1</v>
      </c>
      <c r="K18" s="5" t="n">
        <v>0</v>
      </c>
      <c r="L18" s="5" t="n">
        <v>0</v>
      </c>
      <c r="M18" s="5" t="n">
        <v>0</v>
      </c>
      <c r="N18" s="5" t="n">
        <v>27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8" t="str">
        <f aca="false">IF(D18&gt;0,C18/D18,"")</f>
        <v/>
      </c>
      <c r="U18" s="6" t="n">
        <f aca="false">IF(C18&gt;0,F18/C18,"")</f>
        <v>0.0222222222222222</v>
      </c>
      <c r="V18" s="4" t="n">
        <f aca="false">IF(C18&gt;0,B18/C18*1000,"")</f>
        <v>52.4888888888889</v>
      </c>
      <c r="W18" s="4" t="n">
        <f aca="false">IF(F18&gt;0,B18/F18,"")</f>
        <v>2.362</v>
      </c>
      <c r="X18" s="4" t="str">
        <f aca="false">IF(H18&gt;0,B18/H18,"")</f>
        <v/>
      </c>
      <c r="Y18" s="7" t="n">
        <f aca="false">IF(F18&gt;0,G18/F18,"")</f>
        <v>0.6</v>
      </c>
      <c r="Z18" s="7" t="n">
        <f aca="false">IF(G18&gt;0,H18/G18,"")</f>
        <v>0</v>
      </c>
      <c r="AA18" s="6" t="n">
        <f aca="false">IF(C18&gt;0,I18/C18,"")</f>
        <v>0.146666666666667</v>
      </c>
      <c r="AB18" s="7" t="n">
        <f aca="false">IF(C18&gt;0,N18/C18,"")</f>
        <v>0.12</v>
      </c>
      <c r="AC18" s="7" t="n">
        <f aca="false">IF(N18&gt;0,R18/N18,"")</f>
        <v>0</v>
      </c>
    </row>
    <row r="19" customFormat="false" ht="15" hidden="false" customHeight="false" outlineLevel="0" collapsed="false">
      <c r="A19" s="2" t="s">
        <v>161</v>
      </c>
      <c r="B19" s="4" t="n">
        <v>17.17</v>
      </c>
      <c r="C19" s="5" t="n">
        <v>291</v>
      </c>
      <c r="D19" s="5"/>
      <c r="E19" s="5" t="n">
        <v>7</v>
      </c>
      <c r="F19" s="5" t="n">
        <v>5</v>
      </c>
      <c r="G19" s="5" t="n">
        <v>2</v>
      </c>
      <c r="H19" s="5" t="n">
        <v>0</v>
      </c>
      <c r="I19" s="5" t="n">
        <v>51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46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8" t="str">
        <f aca="false">IF(D19&gt;0,C19/D19,"")</f>
        <v/>
      </c>
      <c r="U19" s="6" t="n">
        <f aca="false">IF(C19&gt;0,F19/C19,"")</f>
        <v>0.0171821305841924</v>
      </c>
      <c r="V19" s="4" t="n">
        <f aca="false">IF(C19&gt;0,B19/C19*1000,"")</f>
        <v>59.0034364261168</v>
      </c>
      <c r="W19" s="4" t="n">
        <f aca="false">IF(F19&gt;0,B19/F19,"")</f>
        <v>3.434</v>
      </c>
      <c r="X19" s="4" t="str">
        <f aca="false">IF(H19&gt;0,B19/H19,"")</f>
        <v/>
      </c>
      <c r="Y19" s="7" t="n">
        <f aca="false">IF(F19&gt;0,G19/F19,"")</f>
        <v>0.4</v>
      </c>
      <c r="Z19" s="7" t="n">
        <f aca="false">IF(G19&gt;0,H19/G19,"")</f>
        <v>0</v>
      </c>
      <c r="AA19" s="6" t="n">
        <f aca="false">IF(C19&gt;0,I19/C19,"")</f>
        <v>0.175257731958763</v>
      </c>
      <c r="AB19" s="7" t="n">
        <f aca="false">IF(C19&gt;0,N19/C19,"")</f>
        <v>0.15807560137457</v>
      </c>
      <c r="AC19" s="7" t="n">
        <f aca="false">IF(N19&gt;0,R19/N19,"")</f>
        <v>0</v>
      </c>
    </row>
    <row r="20" customFormat="false" ht="15" hidden="false" customHeight="false" outlineLevel="0" collapsed="false">
      <c r="A20" s="2" t="s">
        <v>162</v>
      </c>
      <c r="B20" s="4" t="n">
        <v>11.38</v>
      </c>
      <c r="C20" s="5" t="n">
        <v>273</v>
      </c>
      <c r="D20" s="5"/>
      <c r="E20" s="5" t="n">
        <v>8</v>
      </c>
      <c r="F20" s="5" t="n">
        <v>5</v>
      </c>
      <c r="G20" s="5" t="n">
        <v>5</v>
      </c>
      <c r="H20" s="5" t="n">
        <v>0</v>
      </c>
      <c r="I20" s="5" t="n">
        <v>52</v>
      </c>
      <c r="J20" s="5" t="n">
        <v>1</v>
      </c>
      <c r="K20" s="5" t="n">
        <v>0</v>
      </c>
      <c r="L20" s="5" t="n">
        <v>1</v>
      </c>
      <c r="M20" s="5" t="n">
        <v>1</v>
      </c>
      <c r="N20" s="5" t="n">
        <v>44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8" t="str">
        <f aca="false">IF(D20&gt;0,C20/D20,"")</f>
        <v/>
      </c>
      <c r="U20" s="6" t="n">
        <f aca="false">IF(C20&gt;0,F20/C20,"")</f>
        <v>0.0183150183150183</v>
      </c>
      <c r="V20" s="4" t="n">
        <f aca="false">IF(C20&gt;0,B20/C20*1000,"")</f>
        <v>41.6849816849817</v>
      </c>
      <c r="W20" s="4" t="n">
        <f aca="false">IF(F20&gt;0,B20/F20,"")</f>
        <v>2.276</v>
      </c>
      <c r="X20" s="4" t="str">
        <f aca="false">IF(H20&gt;0,B20/H20,"")</f>
        <v/>
      </c>
      <c r="Y20" s="7" t="n">
        <f aca="false">IF(F20&gt;0,G20/F20,"")</f>
        <v>1</v>
      </c>
      <c r="Z20" s="7" t="n">
        <f aca="false">IF(G20&gt;0,H20/G20,"")</f>
        <v>0</v>
      </c>
      <c r="AA20" s="6" t="n">
        <f aca="false">IF(C20&gt;0,I20/C20,"")</f>
        <v>0.19047619047619</v>
      </c>
      <c r="AB20" s="7" t="n">
        <f aca="false">IF(C20&gt;0,N20/C20,"")</f>
        <v>0.161172161172161</v>
      </c>
      <c r="AC20" s="7" t="n">
        <f aca="false">IF(N20&gt;0,R20/N20,"")</f>
        <v>0</v>
      </c>
    </row>
    <row r="21" customFormat="false" ht="15" hidden="false" customHeight="false" outlineLevel="0" collapsed="false">
      <c r="A21" s="2" t="s">
        <v>163</v>
      </c>
      <c r="B21" s="4" t="n">
        <v>16.98</v>
      </c>
      <c r="C21" s="5" t="n">
        <v>307</v>
      </c>
      <c r="D21" s="5"/>
      <c r="E21" s="5" t="n">
        <v>8</v>
      </c>
      <c r="F21" s="5" t="n">
        <v>6</v>
      </c>
      <c r="G21" s="5" t="n">
        <v>5</v>
      </c>
      <c r="H21" s="5" t="n">
        <v>0</v>
      </c>
      <c r="I21" s="5" t="n">
        <v>62</v>
      </c>
      <c r="J21" s="5" t="n">
        <v>1</v>
      </c>
      <c r="K21" s="5" t="n">
        <v>0</v>
      </c>
      <c r="L21" s="5" t="n">
        <v>0</v>
      </c>
      <c r="M21" s="5" t="n">
        <v>0</v>
      </c>
      <c r="N21" s="5" t="n">
        <v>55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8" t="str">
        <f aca="false">IF(D21&gt;0,C21/D21,"")</f>
        <v/>
      </c>
      <c r="U21" s="6" t="n">
        <f aca="false">IF(C21&gt;0,F21/C21,"")</f>
        <v>0.0195439739413681</v>
      </c>
      <c r="V21" s="4" t="n">
        <f aca="false">IF(C21&gt;0,B21/C21*1000,"")</f>
        <v>55.3094462540717</v>
      </c>
      <c r="W21" s="4" t="n">
        <f aca="false">IF(F21&gt;0,B21/F21,"")</f>
        <v>2.83</v>
      </c>
      <c r="X21" s="4" t="str">
        <f aca="false">IF(H21&gt;0,B21/H21,"")</f>
        <v/>
      </c>
      <c r="Y21" s="7" t="n">
        <f aca="false">IF(F21&gt;0,G21/F21,"")</f>
        <v>0.833333333333333</v>
      </c>
      <c r="Z21" s="7" t="n">
        <f aca="false">IF(G21&gt;0,H21/G21,"")</f>
        <v>0</v>
      </c>
      <c r="AA21" s="6" t="n">
        <f aca="false">IF(C21&gt;0,I21/C21,"")</f>
        <v>0.201954397394137</v>
      </c>
      <c r="AB21" s="7" t="n">
        <f aca="false">IF(C21&gt;0,N21/C21,"")</f>
        <v>0.179153094462541</v>
      </c>
      <c r="AC21" s="7" t="n">
        <f aca="false">IF(N21&gt;0,R21/N21,"")</f>
        <v>0</v>
      </c>
    </row>
    <row r="22" customFormat="false" ht="15" hidden="false" customHeight="false" outlineLevel="0" collapsed="false">
      <c r="A22" s="2" t="s">
        <v>164</v>
      </c>
      <c r="B22" s="4" t="n">
        <v>9.79</v>
      </c>
      <c r="C22" s="5" t="n">
        <v>265</v>
      </c>
      <c r="D22" s="5"/>
      <c r="E22" s="5" t="n">
        <v>6</v>
      </c>
      <c r="F22" s="5" t="n">
        <v>4</v>
      </c>
      <c r="G22" s="5" t="n">
        <v>3</v>
      </c>
      <c r="H22" s="5" t="n">
        <v>0</v>
      </c>
      <c r="I22" s="5" t="n">
        <v>59</v>
      </c>
      <c r="J22" s="5" t="n">
        <v>1</v>
      </c>
      <c r="K22" s="5" t="n">
        <v>0</v>
      </c>
      <c r="L22" s="5" t="n">
        <v>1</v>
      </c>
      <c r="M22" s="5" t="n">
        <v>0</v>
      </c>
      <c r="N22" s="5" t="n">
        <v>53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8" t="str">
        <f aca="false">IF(D22&gt;0,C22/D22,"")</f>
        <v/>
      </c>
      <c r="U22" s="6" t="n">
        <f aca="false">IF(C22&gt;0,F22/C22,"")</f>
        <v>0.0150943396226415</v>
      </c>
      <c r="V22" s="4" t="n">
        <f aca="false">IF(C22&gt;0,B22/C22*1000,"")</f>
        <v>36.9433962264151</v>
      </c>
      <c r="W22" s="4" t="n">
        <f aca="false">IF(F22&gt;0,B22/F22,"")</f>
        <v>2.4475</v>
      </c>
      <c r="X22" s="4" t="str">
        <f aca="false">IF(H22&gt;0,B22/H22,"")</f>
        <v/>
      </c>
      <c r="Y22" s="7" t="n">
        <f aca="false">IF(F22&gt;0,G22/F22,"")</f>
        <v>0.75</v>
      </c>
      <c r="Z22" s="7" t="n">
        <f aca="false">IF(G22&gt;0,H22/G22,"")</f>
        <v>0</v>
      </c>
      <c r="AA22" s="6" t="n">
        <f aca="false">IF(C22&gt;0,I22/C22,"")</f>
        <v>0.222641509433962</v>
      </c>
      <c r="AB22" s="7" t="n">
        <f aca="false">IF(C22&gt;0,N22/C22,"")</f>
        <v>0.2</v>
      </c>
      <c r="AC22" s="7" t="n">
        <f aca="false">IF(N22&gt;0,R22/N22,"")</f>
        <v>0</v>
      </c>
    </row>
    <row r="23" customFormat="false" ht="15" hidden="false" customHeight="false" outlineLevel="0" collapsed="false">
      <c r="A23" s="2" t="s">
        <v>165</v>
      </c>
      <c r="B23" s="4" t="n">
        <v>17.01</v>
      </c>
      <c r="C23" s="5" t="n">
        <v>286</v>
      </c>
      <c r="D23" s="5"/>
      <c r="E23" s="5" t="n">
        <v>8</v>
      </c>
      <c r="F23" s="5" t="n">
        <v>5</v>
      </c>
      <c r="G23" s="5" t="n">
        <v>5</v>
      </c>
      <c r="H23" s="5" t="n">
        <v>0</v>
      </c>
      <c r="I23" s="5" t="n">
        <v>63</v>
      </c>
      <c r="J23" s="5" t="n">
        <v>2</v>
      </c>
      <c r="K23" s="5" t="n">
        <v>0</v>
      </c>
      <c r="L23" s="5" t="n">
        <v>0</v>
      </c>
      <c r="M23" s="5" t="n">
        <v>1</v>
      </c>
      <c r="N23" s="5" t="n">
        <v>55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8" t="str">
        <f aca="false">IF(D23&gt;0,C23/D23,"")</f>
        <v/>
      </c>
      <c r="U23" s="6" t="n">
        <f aca="false">IF(C23&gt;0,F23/C23,"")</f>
        <v>0.0174825174825175</v>
      </c>
      <c r="V23" s="4" t="n">
        <f aca="false">IF(C23&gt;0,B23/C23*1000,"")</f>
        <v>59.4755244755245</v>
      </c>
      <c r="W23" s="4" t="n">
        <f aca="false">IF(F23&gt;0,B23/F23,"")</f>
        <v>3.402</v>
      </c>
      <c r="X23" s="4" t="str">
        <f aca="false">IF(H23&gt;0,B23/H23,"")</f>
        <v/>
      </c>
      <c r="Y23" s="7" t="n">
        <f aca="false">IF(F23&gt;0,G23/F23,"")</f>
        <v>1</v>
      </c>
      <c r="Z23" s="7" t="n">
        <f aca="false">IF(G23&gt;0,H23/G23,"")</f>
        <v>0</v>
      </c>
      <c r="AA23" s="6" t="n">
        <f aca="false">IF(C23&gt;0,I23/C23,"")</f>
        <v>0.22027972027972</v>
      </c>
      <c r="AB23" s="7" t="n">
        <f aca="false">IF(C23&gt;0,N23/C23,"")</f>
        <v>0.192307692307692</v>
      </c>
      <c r="AC23" s="7" t="n">
        <f aca="false">IF(N23&gt;0,R23/N23,"")</f>
        <v>0</v>
      </c>
    </row>
    <row r="24" customFormat="false" ht="15" hidden="false" customHeight="false" outlineLevel="0" collapsed="false">
      <c r="A24" s="2" t="s">
        <v>166</v>
      </c>
      <c r="B24" s="4" t="n">
        <v>12.24</v>
      </c>
      <c r="C24" s="5" t="n">
        <v>217</v>
      </c>
      <c r="D24" s="5"/>
      <c r="E24" s="5" t="n">
        <v>7</v>
      </c>
      <c r="F24" s="5" t="n">
        <v>6</v>
      </c>
      <c r="G24" s="5" t="n">
        <v>4</v>
      </c>
      <c r="H24" s="5" t="n">
        <v>1</v>
      </c>
      <c r="I24" s="5" t="n">
        <v>51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45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8" t="str">
        <f aca="false">IF(D24&gt;0,C24/D24,"")</f>
        <v/>
      </c>
      <c r="U24" s="6" t="n">
        <f aca="false">IF(C24&gt;0,F24/C24,"")</f>
        <v>0.0276497695852535</v>
      </c>
      <c r="V24" s="4" t="n">
        <f aca="false">IF(C24&gt;0,B24/C24*1000,"")</f>
        <v>56.4055299539171</v>
      </c>
      <c r="W24" s="4" t="n">
        <f aca="false">IF(F24&gt;0,B24/F24,"")</f>
        <v>2.04</v>
      </c>
      <c r="X24" s="4" t="n">
        <f aca="false">IF(H24&gt;0,B24/H24,"")</f>
        <v>12.24</v>
      </c>
      <c r="Y24" s="7" t="n">
        <f aca="false">IF(F24&gt;0,G24/F24,"")</f>
        <v>0.666666666666667</v>
      </c>
      <c r="Z24" s="7" t="n">
        <f aca="false">IF(G24&gt;0,H24/G24,"")</f>
        <v>0.25</v>
      </c>
      <c r="AA24" s="6" t="n">
        <f aca="false">IF(C24&gt;0,I24/C24,"")</f>
        <v>0.235023041474654</v>
      </c>
      <c r="AB24" s="7" t="n">
        <f aca="false">IF(C24&gt;0,N24/C24,"")</f>
        <v>0.207373271889401</v>
      </c>
      <c r="AC24" s="7" t="n">
        <f aca="false">IF(N24&gt;0,R24/N24,"")</f>
        <v>0</v>
      </c>
    </row>
    <row r="25" customFormat="false" ht="15" hidden="false" customHeight="false" outlineLevel="0" collapsed="false">
      <c r="A25" s="2" t="s">
        <v>167</v>
      </c>
      <c r="B25" s="4" t="n">
        <v>10.46</v>
      </c>
      <c r="C25" s="5" t="n">
        <v>190</v>
      </c>
      <c r="D25" s="5"/>
      <c r="E25" s="5" t="n">
        <v>3</v>
      </c>
      <c r="F25" s="5" t="n">
        <v>2</v>
      </c>
      <c r="G25" s="5" t="n">
        <v>2</v>
      </c>
      <c r="H25" s="5" t="n">
        <v>0</v>
      </c>
      <c r="I25" s="5" t="n">
        <v>27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25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8" t="str">
        <f aca="false">IF(D25&gt;0,C25/D25,"")</f>
        <v/>
      </c>
      <c r="U25" s="6" t="n">
        <f aca="false">IF(C25&gt;0,F25/C25,"")</f>
        <v>0.0105263157894737</v>
      </c>
      <c r="V25" s="4" t="n">
        <f aca="false">IF(C25&gt;0,B25/C25*1000,"")</f>
        <v>55.0526315789474</v>
      </c>
      <c r="W25" s="4" t="n">
        <f aca="false">IF(F25&gt;0,B25/F25,"")</f>
        <v>5.23</v>
      </c>
      <c r="X25" s="4" t="str">
        <f aca="false">IF(H25&gt;0,B25/H25,"")</f>
        <v/>
      </c>
      <c r="Y25" s="7" t="n">
        <f aca="false">IF(F25&gt;0,G25/F25,"")</f>
        <v>1</v>
      </c>
      <c r="Z25" s="7" t="n">
        <f aca="false">IF(G25&gt;0,H25/G25,"")</f>
        <v>0</v>
      </c>
      <c r="AA25" s="6" t="n">
        <f aca="false">IF(C25&gt;0,I25/C25,"")</f>
        <v>0.142105263157895</v>
      </c>
      <c r="AB25" s="7" t="n">
        <f aca="false">IF(C25&gt;0,N25/C25,"")</f>
        <v>0.131578947368421</v>
      </c>
      <c r="AC25" s="7" t="n">
        <f aca="false">IF(N25&gt;0,R25/N25,"")</f>
        <v>0</v>
      </c>
    </row>
    <row r="26" customFormat="false" ht="15" hidden="false" customHeight="false" outlineLevel="0" collapsed="false">
      <c r="A26" s="11" t="s">
        <v>46</v>
      </c>
      <c r="B26" s="12" t="n">
        <f aca="false">SUM(B2:B25)</f>
        <v>288.3</v>
      </c>
      <c r="C26" s="13" t="n">
        <f aca="false">SUM(C2:C25)</f>
        <v>4458</v>
      </c>
      <c r="D26" s="13"/>
      <c r="E26" s="13" t="n">
        <f aca="false">SUM(E2:E25)</f>
        <v>95</v>
      </c>
      <c r="F26" s="13" t="n">
        <f aca="false">SUM(F2:F25)</f>
        <v>68</v>
      </c>
      <c r="G26" s="13" t="n">
        <f aca="false">SUM(G2:G25)</f>
        <v>51</v>
      </c>
      <c r="H26" s="13" t="n">
        <f aca="false">SUM(H2:H25)</f>
        <v>1</v>
      </c>
      <c r="I26" s="13" t="n">
        <f aca="false">SUM(I2:I25)</f>
        <v>850</v>
      </c>
      <c r="J26" s="13" t="n">
        <f aca="false">SUM(J2:J25)</f>
        <v>20</v>
      </c>
      <c r="K26" s="13" t="n">
        <f aca="false">SUM(K2:K25)</f>
        <v>0</v>
      </c>
      <c r="L26" s="13" t="n">
        <f aca="false">SUM(L2:L25)</f>
        <v>3</v>
      </c>
      <c r="M26" s="13" t="n">
        <f aca="false">SUM(M2:M25)</f>
        <v>5</v>
      </c>
      <c r="N26" s="13" t="n">
        <f aca="false">SUM(N2:N25)</f>
        <v>754</v>
      </c>
      <c r="O26" s="13" t="n">
        <f aca="false">SUM(O2:O25)</f>
        <v>0</v>
      </c>
      <c r="P26" s="13" t="n">
        <f aca="false">SUM(P2:P25)</f>
        <v>0</v>
      </c>
      <c r="Q26" s="13" t="n">
        <f aca="false">SUM(Q2:Q25)</f>
        <v>0</v>
      </c>
      <c r="R26" s="13" t="n">
        <f aca="false">SUM(R2:R25)</f>
        <v>0</v>
      </c>
      <c r="S26" s="13" t="n">
        <f aca="false">SUM(S2:S25)</f>
        <v>0</v>
      </c>
      <c r="T26" s="14" t="str">
        <f aca="false">IF(D26&gt;0,C26/D26,"")</f>
        <v/>
      </c>
      <c r="U26" s="15" t="n">
        <f aca="false">IF(C26&gt;0,F26/C26,"")</f>
        <v>0.0152534768954688</v>
      </c>
      <c r="V26" s="12" t="n">
        <f aca="false">IF(C26&gt;0,B26/C26*1000,"")</f>
        <v>64.6702557200538</v>
      </c>
      <c r="W26" s="12" t="n">
        <f aca="false">IF(F26&gt;0,B26/F26,"")</f>
        <v>4.23970588235294</v>
      </c>
      <c r="X26" s="12" t="n">
        <f aca="false">IF(H26&gt;0,B26/H26,"")</f>
        <v>288.3</v>
      </c>
      <c r="Y26" s="16" t="n">
        <f aca="false">IF(F26&gt;0,G26/F26,"")</f>
        <v>0.75</v>
      </c>
      <c r="Z26" s="16" t="n">
        <f aca="false">IF(G26&gt;0,H26/G26,"")</f>
        <v>0.0196078431372549</v>
      </c>
      <c r="AA26" s="15" t="n">
        <f aca="false">IF(C26&gt;0,I26/C26,"")</f>
        <v>0.19066846119336</v>
      </c>
      <c r="AB26" s="16" t="n">
        <f aca="false">IF(C26&gt;0,N26/C26,"")</f>
        <v>0.169134140870345</v>
      </c>
      <c r="AC26" s="16" t="n">
        <f aca="false">IF(N26&gt;0,R26/N26,"")</f>
        <v>0</v>
      </c>
    </row>
    <row r="28" customFormat="false" ht="15" hidden="false" customHeight="false" outlineLevel="0" collapsed="false">
      <c r="A28" s="17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3" t="s">
        <v>169</v>
      </c>
      <c r="B1" s="3" t="s">
        <v>170</v>
      </c>
      <c r="C1" s="3" t="s">
        <v>171</v>
      </c>
      <c r="D1" s="3" t="s">
        <v>172</v>
      </c>
      <c r="E1" s="3" t="s">
        <v>173</v>
      </c>
      <c r="F1" s="3" t="s">
        <v>174</v>
      </c>
    </row>
    <row r="2" customFormat="false" ht="15" hidden="false" customHeight="false" outlineLevel="0" collapsed="false">
      <c r="A2" s="2" t="s">
        <v>40</v>
      </c>
      <c r="B2" s="2" t="s">
        <v>48</v>
      </c>
      <c r="C2" s="2" t="s">
        <v>175</v>
      </c>
      <c r="D2" s="2" t="s">
        <v>176</v>
      </c>
      <c r="E2" s="2" t="s">
        <v>177</v>
      </c>
      <c r="F2" s="2" t="s">
        <v>178</v>
      </c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2" t="s">
        <v>179</v>
      </c>
      <c r="B4" s="2" t="n">
        <f aca="false">COUNTIF(F2:F2,"Calificado")</f>
        <v>0</v>
      </c>
      <c r="C4" s="2"/>
      <c r="D4" s="2"/>
      <c r="E4" s="2"/>
      <c r="F4" s="2"/>
    </row>
    <row r="5" customFormat="false" ht="15" hidden="false" customHeight="false" outlineLevel="0" collapsed="false">
      <c r="A5" s="2" t="s">
        <v>180</v>
      </c>
      <c r="B5" s="2" t="n">
        <f aca="false">COUNTIF(F2:F2,"No calificado")</f>
        <v>1</v>
      </c>
      <c r="C5" s="2"/>
      <c r="D5" s="2"/>
      <c r="E5" s="2"/>
      <c r="F5" s="2"/>
    </row>
    <row r="6" customFormat="false" ht="15" hidden="false" customHeight="false" outlineLevel="0" collapsed="false">
      <c r="A6" s="2" t="s">
        <v>181</v>
      </c>
      <c r="B6" s="7" t="n">
        <f aca="false">IF(B4+B5&gt;0,B5/(B4+B5),"")</f>
        <v>1</v>
      </c>
      <c r="C6" s="2"/>
      <c r="D6" s="2"/>
      <c r="E6" s="2"/>
      <c r="F6" s="2"/>
    </row>
    <row r="7" customFormat="false" ht="15" hidden="false" customHeight="false" outlineLevel="0" collapsed="false">
      <c r="A7" s="2" t="s">
        <v>182</v>
      </c>
      <c r="B7" s="2"/>
      <c r="C7" s="2"/>
      <c r="D7" s="2"/>
      <c r="E7" s="2"/>
      <c r="F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2026-10-20T01:02:33Z</dcterms:created>
  <dc:creator>openpyxl</dc:creator>
  <dc:description/>
  <dc:language>en-US</dc:language>
  <cp:lastModifiedBy/>
  <dcterms:modified xsi:type="dcterms:W3CDTF">2026-10-20T01:02:41Z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