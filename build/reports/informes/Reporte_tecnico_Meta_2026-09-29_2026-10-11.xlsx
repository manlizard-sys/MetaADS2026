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iario" sheetId="2" state="visible" r:id="rId4"/>
    <sheet name="Anuncios" sheetId="3" state="visible" r:id="rId5"/>
    <sheet name="Edad" sheetId="4" state="visible" r:id="rId6"/>
    <sheet name="Género" sheetId="5" state="visible" r:id="rId7"/>
    <sheet name="Edad x Género" sheetId="6" state="visible" r:id="rId8"/>
    <sheet name="Estado" sheetId="7" state="visible" r:id="rId9"/>
    <sheet name="Placement" sheetId="8" state="visible" r:id="rId10"/>
    <sheet name="Dispositivo" sheetId="9" state="visible" r:id="rId11"/>
    <sheet name="Hora" sheetId="10" state="visible" r:id="rId12"/>
    <sheet name="Calidad de lead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<sst xmlns="http://schemas.openxmlformats.org/spreadsheetml/2006/main" count="534" uniqueCount="204">
  <si>
    <t xml:space="preserve">Reporte técnico · Meta Ads · OrchidPros</t>
  </si>
  <si>
    <t xml:space="preserve">Periodo: 2026-09-29 a 2026-10-11 · campaña ORCHID - Leads - Hire VA - 2026 OCT - ABO · cuenta act_1806647434085082</t>
  </si>
  <si>
    <t xml:space="preserve">Métrica</t>
  </si>
  <si>
    <t xml:space="preserve">Valor</t>
  </si>
  <si>
    <t xml:space="preserve">Gasto (USD)</t>
  </si>
  <si>
    <t xml:space="preserve">Impresiones</t>
  </si>
  <si>
    <t xml:space="preserve">Clics en enlace</t>
  </si>
  <si>
    <t xml:space="preserve">Landing page views</t>
  </si>
  <si>
    <t xml:space="preserve">Leads (Meta)</t>
  </si>
  <si>
    <t xml:space="preserve">Interacciones</t>
  </si>
  <si>
    <t xml:space="preserve">Reproducciones 3 s</t>
  </si>
  <si>
    <t xml:space="preserve">ThruPlay</t>
  </si>
  <si>
    <t xml:space="preserve">CTR enlace</t>
  </si>
  <si>
    <t xml:space="preserve">CPM (USD)</t>
  </si>
  <si>
    <t xml:space="preserve">CPC enlace (USD)</t>
  </si>
  <si>
    <t xml:space="preserve">CPL Meta (USD)</t>
  </si>
  <si>
    <t xml:space="preserve">Clic → LPV</t>
  </si>
  <si>
    <t xml:space="preserve">LPV → lead</t>
  </si>
  <si>
    <t xml:space="preserve">Hook rate (3 s / imp.)</t>
  </si>
  <si>
    <t xml:space="preserve">Retención 100% / 3 s</t>
  </si>
  <si>
    <t xml:space="preserve">Alcance (personas únicas)</t>
  </si>
  <si>
    <t xml:space="preserve">Frecuencia</t>
  </si>
  <si>
    <t xml:space="preserve">Notas</t>
  </si>
  <si>
    <t xml:space="preserve">Fuente: Meta Marketing API (atribución por defecto de la cuenta). Pueden variar levemente frente a Ads Manager.</t>
  </si>
  <si>
    <t xml:space="preserve">Tasas calculadas con fórmulas en cada hoja: CTR = clics en enlace / impresiones; CPL Meta = gasto / leads de Meta.</t>
  </si>
  <si>
    <t xml:space="preserve">Lead (Meta) cuenta todo formulario enviado; la calidad real está en la hoja 'Calidad de leads' (GHL).</t>
  </si>
  <si>
    <t xml:space="preserve">Alcance no es sumable entre segmentos; el total de cada hoja lo omite.</t>
  </si>
  <si>
    <t xml:space="preserve">Fecha</t>
  </si>
  <si>
    <t xml:space="preserve">Alcance</t>
  </si>
  <si>
    <t xml:space="preserve">Clics (todos)</t>
  </si>
  <si>
    <t xml:space="preserve">Reacciones</t>
  </si>
  <si>
    <t xml:space="preserve">Comentarios</t>
  </si>
  <si>
    <t xml:space="preserve">Compartidos</t>
  </si>
  <si>
    <t xml:space="preserve">Guardados</t>
  </si>
  <si>
    <t xml:space="preserve">Video 25%</t>
  </si>
  <si>
    <t xml:space="preserve">Video 50%</t>
  </si>
  <si>
    <t xml:space="preserve">Video 75%</t>
  </si>
  <si>
    <t xml:space="preserve">Video 100%</t>
  </si>
  <si>
    <t xml:space="preserve">Tasa de interacción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</si>
  <si>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</si>
  <si>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</si>
  <si>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</si>
  <si>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</si>
  <si>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</si>
  <si>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</si>
  <si>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</si>
  <si>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</si>
  <si>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</si>
  <si>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</si>
  <si>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</si>
  <si>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</si>
  <si>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</si>
  <si>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Total</t>
  </si>
  <si>
    <t xml:space="preserve">Anuncio</t>
  </si>
  <si>
    <t xml:space="preserve">V2 Small Law Firm - 2026 Oct</t>
  </si>
  <si>
    <t xml:space="preserve">S3 Vetting - Static - 2026 Oct</t>
  </si>
  <si>
    <t xml:space="preserve">V3 Vetting Process - 2026 Oct</t>
  </si>
  <si>
    <t xml:space="preserve">C2 Hey You Offer - Carousel  - 2026 Oct</t>
  </si>
  <si>
    <t xml:space="preserve">S6 What VA Does - Static - 2026 Oct</t>
  </si>
  <si>
    <t xml:space="preserve">V1 POV Email - 2026 Oct</t>
  </si>
  <si>
    <t xml:space="preserve">S8 Comparison - Static - 2026 Oct</t>
  </si>
  <si>
    <t xml:space="preserve">V4 Founder Story - 2026 Oct</t>
  </si>
  <si>
    <t xml:space="preserve">C1 Guilty - Carousel  - 2026 Oct</t>
  </si>
  <si>
    <t xml:space="preserve">S1 Cost - Static - 2026 Oct</t>
  </si>
  <si>
    <t xml:space="preserve">Edad</t>
  </si>
  <si>
    <t xml:space="preserve">35-44</t>
  </si>
  <si>
    <t xml:space="preserve">45-54</t>
  </si>
  <si>
    <t xml:space="preserve">25-34</t>
  </si>
  <si>
    <t xml:space="preserve">55-64</t>
  </si>
  <si>
    <t xml:space="preserve">18-24</t>
  </si>
  <si>
    <t xml:space="preserve">65+</t>
  </si>
  <si>
    <t xml:space="preserve">Género</t>
  </si>
  <si>
    <t xml:space="preserve">Mujer</t>
  </si>
  <si>
    <t xml:space="preserve">Hombre</t>
  </si>
  <si>
    <t xml:space="preserve">Sin dato</t>
  </si>
  <si>
    <t xml:space="preserve">Estado (EE. UU.)</t>
  </si>
  <si>
    <t xml:space="preserve">California</t>
  </si>
  <si>
    <t xml:space="preserve">Texas</t>
  </si>
  <si>
    <t xml:space="preserve">Florida</t>
  </si>
  <si>
    <t xml:space="preserve">Georgia</t>
  </si>
  <si>
    <t xml:space="preserve">New York</t>
  </si>
  <si>
    <t xml:space="preserve">Illinois</t>
  </si>
  <si>
    <t xml:space="preserve">Massachusetts</t>
  </si>
  <si>
    <t xml:space="preserve">New Jersey</t>
  </si>
  <si>
    <t xml:space="preserve">Pennsylvania</t>
  </si>
  <si>
    <t xml:space="preserve">Virginia</t>
  </si>
  <si>
    <t xml:space="preserve">Maryland</t>
  </si>
  <si>
    <t xml:space="preserve">Arizona</t>
  </si>
  <si>
    <t xml:space="preserve">Kentucky</t>
  </si>
  <si>
    <t xml:space="preserve">North Carolina</t>
  </si>
  <si>
    <t xml:space="preserve">Ohio</t>
  </si>
  <si>
    <t xml:space="preserve">Mississippi</t>
  </si>
  <si>
    <t xml:space="preserve">Nevada</t>
  </si>
  <si>
    <t xml:space="preserve">South Carolina</t>
  </si>
  <si>
    <t xml:space="preserve">Wisconsin</t>
  </si>
  <si>
    <t xml:space="preserve">Tennessee</t>
  </si>
  <si>
    <t xml:space="preserve">Colorado</t>
  </si>
  <si>
    <t xml:space="preserve">Louisiana</t>
  </si>
  <si>
    <t xml:space="preserve">Connecticut</t>
  </si>
  <si>
    <t xml:space="preserve">Missouri</t>
  </si>
  <si>
    <t xml:space="preserve">Indiana</t>
  </si>
  <si>
    <t xml:space="preserve">Alabama</t>
  </si>
  <si>
    <t xml:space="preserve">Michigan</t>
  </si>
  <si>
    <t xml:space="preserve">Minnesota</t>
  </si>
  <si>
    <t xml:space="preserve">Washington</t>
  </si>
  <si>
    <t xml:space="preserve">Washington, District of Columbia</t>
  </si>
  <si>
    <t xml:space="preserve">Oklahoma</t>
  </si>
  <si>
    <t xml:space="preserve">Utah</t>
  </si>
  <si>
    <t xml:space="preserve">Alaska</t>
  </si>
  <si>
    <t xml:space="preserve">New Mexico</t>
  </si>
  <si>
    <t xml:space="preserve">Arkansas</t>
  </si>
  <si>
    <t xml:space="preserve">Rhode Island</t>
  </si>
  <si>
    <t xml:space="preserve">Oregon</t>
  </si>
  <si>
    <t xml:space="preserve">New Hampshire</t>
  </si>
  <si>
    <t xml:space="preserve">Unknown</t>
  </si>
  <si>
    <t xml:space="preserve">Kansas</t>
  </si>
  <si>
    <t xml:space="preserve">Iowa</t>
  </si>
  <si>
    <t xml:space="preserve">West Virginia</t>
  </si>
  <si>
    <t xml:space="preserve">Hawaii</t>
  </si>
  <si>
    <t xml:space="preserve">Nebraska</t>
  </si>
  <si>
    <t xml:space="preserve">Maine</t>
  </si>
  <si>
    <t xml:space="preserve">Delaware</t>
  </si>
  <si>
    <t xml:space="preserve">North Dakota</t>
  </si>
  <si>
    <t xml:space="preserve">Idaho</t>
  </si>
  <si>
    <t xml:space="preserve">South Dakota</t>
  </si>
  <si>
    <t xml:space="preserve">Montana</t>
  </si>
  <si>
    <t xml:space="preserve">Wyoming</t>
  </si>
  <si>
    <t xml:space="preserve">Meta no reporta landing page views ni leads por estado (restricción de privacidad): esas columnas salen en 0.</t>
  </si>
  <si>
    <t xml:space="preserve">Plataforma</t>
  </si>
  <si>
    <t xml:space="preserve">Posición</t>
  </si>
  <si>
    <t xml:space="preserve">facebook</t>
  </si>
  <si>
    <t xml:space="preserve">feed</t>
  </si>
  <si>
    <t xml:space="preserve">instagram</t>
  </si>
  <si>
    <t xml:space="preserve">instagram_reels</t>
  </si>
  <si>
    <t xml:space="preserve">facebook_reels</t>
  </si>
  <si>
    <t xml:space="preserve">instagram_stories</t>
  </si>
  <si>
    <t xml:space="preserve">audience_network</t>
  </si>
  <si>
    <t xml:space="preserve">an_classic</t>
  </si>
  <si>
    <t xml:space="preserve">facebook_stories</t>
  </si>
  <si>
    <t xml:space="preserve">threads</t>
  </si>
  <si>
    <t xml:space="preserve">threads_feed</t>
  </si>
  <si>
    <t xml:space="preserve">rewarded_video</t>
  </si>
  <si>
    <t xml:space="preserve">marketplace</t>
  </si>
  <si>
    <t xml:space="preserve">instagram_explore_grid_home</t>
  </si>
  <si>
    <t xml:space="preserve">right_hand_column</t>
  </si>
  <si>
    <t xml:space="preserve">facebook_profile_feed</t>
  </si>
  <si>
    <t xml:space="preserve">unknown</t>
  </si>
  <si>
    <t xml:space="preserve">Dispositivo</t>
  </si>
  <si>
    <t xml:space="preserve">iphone</t>
  </si>
  <si>
    <t xml:space="preserve">android_smartphone</t>
  </si>
  <si>
    <t xml:space="preserve">ipad</t>
  </si>
  <si>
    <t xml:space="preserve">android_tablet</t>
  </si>
  <si>
    <t xml:space="preserve">desktop</t>
  </si>
  <si>
    <t xml:space="preserve">other</t>
  </si>
  <si>
    <t xml:space="preserve">Hora (Nueva York)</t>
  </si>
  <si>
    <t xml:space="preserve">00:00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</si>
  <si>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</si>
  <si>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</si>
  <si>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</si>
  <si>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</si>
  <si>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</si>
  <si>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</si>
  <si>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</si>
  <si>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</si>
  <si>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</si>
  <si>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</si>
  <si>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</si>
  <si>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</si>
  <si>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</si>
  <si>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</si>
  <si>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</si>
  <si>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</si>
  <si>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</si>
  <si>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</si>
  <si>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</si>
  <si>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</si>
  <si>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</si>
  <si>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</si>
  <si>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</si>
  <si>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Meta no entrega alcance por hora.</t>
  </si>
  <si>
    <t xml:space="preserve">Fecha (UTC)</t>
  </si>
  <si>
    <t xml:space="preserve">Anuncio de origen</t>
  </si>
  <si>
    <t xml:space="preserve">Hiring or job seeking</t>
  </si>
  <si>
    <t xml:space="preserve">Vertical</t>
  </si>
  <si>
    <t xml:space="preserve">Agendó</t>
  </si>
  <si>
    <t xml:space="preserve">Clasificación</t>
  </si>
  <si>
    <t xml:space="preserve">I want to hire.</t>
  </si>
  <si>
    <t xml:space="preserve">Other</t>
  </si>
  <si>
    <t xml:space="preserve">Sí</t>
  </si>
  <si>
    <t xml:space="preserve">Calificado</t>
  </si>
  <si>
    <t xml:space="preserve">I'm looking for a job.</t>
  </si>
  <si>
    <t xml:space="preserve">Healthcare</t>
  </si>
  <si>
    <t xml:space="preserve">No</t>
  </si>
  <si>
    <t xml:space="preserve">No calificado</t>
  </si>
  <si>
    <t xml:space="preserve">2026-10-12</t>
  </si>
  <si>
    <t xml:space="preserve">(sin utm)</t>
  </si>
  <si>
    <t xml:space="preserve">Financial Services</t>
  </si>
  <si>
    <t xml:space="preserve">Sin respuesta</t>
  </si>
  <si>
    <t xml:space="preserve">Legal - PI &amp; trademark</t>
  </si>
  <si>
    <t xml:space="preserve">Accounting &amp; bookkeeping</t>
  </si>
  <si>
    <t xml:space="preserve">Calificados</t>
  </si>
  <si>
    <t xml:space="preserve">No calificados</t>
  </si>
  <si>
    <t xml:space="preserve">% no calificados (con respuesta)</t>
  </si>
  <si>
    <t xml:space="preserve">Fuente: GHL (ghl-2026-10-12.json), sin datos personales.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</si>
</sst>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0.00%"/>
    <numFmt numFmtId="168" formatCode="0.0%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1C78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B66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1C78"/>
        <bgColor rgb="FF333333"/>
      </patternFill>
    </fill>
    <fill>
      <patternFill patternType="solid">
        <fgColor rgb="FFF3F0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0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680"/>
      <rgbColor rgb="FF969696"/>
      <rgbColor rgb="FF003366"/>
      <rgbColor rgb="FF339966"/>
      <rgbColor rgb="FF003300"/>
      <rgbColor rgb="FF333300"/>
      <rgbColor rgb="FF993300"/>
      <rgbColor rgb="FF993366"/>
      <rgbColor rgb="FF3B1C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4" t="n">
        <f aca="false">Diario!B15</f>
        <v>488.01</v>
      </c>
    </row>
    <row r="6" customFormat="false" ht="15" hidden="false" customHeight="false" outlineLevel="0" collapsed="false">
      <c r="A6" s="2" t="s">
        <v>5</v>
      </c>
      <c r="B6" s="5" t="n">
        <f aca="false">Diario!C15</f>
        <v>5230</v>
      </c>
    </row>
    <row r="7" customFormat="false" ht="15" hidden="false" customHeight="false" outlineLevel="0" collapsed="false">
      <c r="A7" s="2" t="s">
        <v>6</v>
      </c>
      <c r="B7" s="5" t="n">
        <f aca="false">Diario!F15</f>
        <v>236</v>
      </c>
    </row>
    <row r="8" customFormat="false" ht="15" hidden="false" customHeight="false" outlineLevel="0" collapsed="false">
      <c r="A8" s="2" t="s">
        <v>7</v>
      </c>
      <c r="B8" s="5" t="n">
        <f aca="false">Diario!G15</f>
        <v>183</v>
      </c>
    </row>
    <row r="9" customFormat="false" ht="15" hidden="false" customHeight="false" outlineLevel="0" collapsed="false">
      <c r="A9" s="2" t="s">
        <v>8</v>
      </c>
      <c r="B9" s="5" t="n">
        <f aca="false">Diario!H15</f>
        <v>4</v>
      </c>
    </row>
    <row r="10" customFormat="false" ht="15" hidden="false" customHeight="false" outlineLevel="0" collapsed="false">
      <c r="A10" s="2" t="s">
        <v>9</v>
      </c>
      <c r="B10" s="5" t="n">
        <f aca="false">Diario!I15</f>
        <v>1663</v>
      </c>
    </row>
    <row r="11" customFormat="false" ht="15" hidden="false" customHeight="false" outlineLevel="0" collapsed="false">
      <c r="A11" s="2" t="s">
        <v>10</v>
      </c>
      <c r="B11" s="5" t="n">
        <f aca="false">Diario!N15</f>
        <v>1388</v>
      </c>
    </row>
    <row r="12" customFormat="false" ht="15" hidden="false" customHeight="false" outlineLevel="0" collapsed="false">
      <c r="A12" s="2" t="s">
        <v>11</v>
      </c>
      <c r="B12" s="5" t="n">
        <f aca="false">Diario!S15</f>
        <v>161</v>
      </c>
    </row>
    <row r="13" customFormat="false" ht="15" hidden="false" customHeight="false" outlineLevel="0" collapsed="false">
      <c r="A13" s="2" t="s">
        <v>12</v>
      </c>
      <c r="B13" s="6" t="n">
        <f aca="false">Diario!U15</f>
        <v>0.0451242829827916</v>
      </c>
    </row>
    <row r="14" customFormat="false" ht="15" hidden="false" customHeight="false" outlineLevel="0" collapsed="false">
      <c r="A14" s="2" t="s">
        <v>13</v>
      </c>
      <c r="B14" s="4" t="n">
        <f aca="false">Diario!V15</f>
        <v>93.3097514340344</v>
      </c>
    </row>
    <row r="15" customFormat="false" ht="15" hidden="false" customHeight="false" outlineLevel="0" collapsed="false">
      <c r="A15" s="2" t="s">
        <v>14</v>
      </c>
      <c r="B15" s="4" t="n">
        <f aca="false">Diario!W15</f>
        <v>2.06783898305085</v>
      </c>
    </row>
    <row r="16" customFormat="false" ht="15" hidden="false" customHeight="false" outlineLevel="0" collapsed="false">
      <c r="A16" s="2" t="s">
        <v>15</v>
      </c>
      <c r="B16" s="4" t="n">
        <f aca="false">Diario!X15</f>
        <v>122.0025</v>
      </c>
    </row>
    <row r="17" customFormat="false" ht="15" hidden="false" customHeight="false" outlineLevel="0" collapsed="false">
      <c r="A17" s="2" t="s">
        <v>16</v>
      </c>
      <c r="B17" s="7" t="n">
        <f aca="false">Diario!Y15</f>
        <v>0.775423728813559</v>
      </c>
    </row>
    <row r="18" customFormat="false" ht="15" hidden="false" customHeight="false" outlineLevel="0" collapsed="false">
      <c r="A18" s="2" t="s">
        <v>17</v>
      </c>
      <c r="B18" s="7" t="n">
        <f aca="false">Diario!Z15</f>
        <v>0.0218579234972678</v>
      </c>
    </row>
    <row r="19" customFormat="false" ht="15" hidden="false" customHeight="false" outlineLevel="0" collapsed="false">
      <c r="A19" s="2" t="s">
        <v>18</v>
      </c>
      <c r="B19" s="7" t="n">
        <f aca="false">Diario!AB15</f>
        <v>0.265391969407266</v>
      </c>
    </row>
    <row r="20" customFormat="false" ht="15" hidden="false" customHeight="false" outlineLevel="0" collapsed="false">
      <c r="A20" s="2" t="s">
        <v>19</v>
      </c>
      <c r="B20" s="7" t="n">
        <f aca="false">Diario!AC15</f>
        <v>0.0886167146974063</v>
      </c>
    </row>
    <row r="21" customFormat="false" ht="15" hidden="false" customHeight="false" outlineLevel="0" collapsed="false">
      <c r="A21" s="2" t="s">
        <v>20</v>
      </c>
      <c r="B21" s="5" t="n">
        <v>3299</v>
      </c>
    </row>
    <row r="22" customFormat="false" ht="15" hidden="false" customHeight="false" outlineLevel="0" collapsed="false">
      <c r="A22" s="2" t="s">
        <v>21</v>
      </c>
      <c r="B22" s="8" t="n">
        <f aca="false">IF(B21&gt;0,B6/B21,"")</f>
        <v>1.58532888754168</v>
      </c>
    </row>
    <row r="23" customFormat="false" ht="15" hidden="false" customHeight="false" outlineLevel="0" collapsed="false">
      <c r="A23" s="2"/>
      <c r="B23" s="2"/>
    </row>
    <row r="24" customFormat="false" ht="15" hidden="false" customHeight="false" outlineLevel="0" collapsed="false">
      <c r="A24" s="9" t="s">
        <v>22</v>
      </c>
      <c r="B24" s="2"/>
    </row>
    <row r="25" customFormat="false" ht="15" hidden="false" customHeight="false" outlineLevel="0" collapsed="false">
      <c r="A25" s="2" t="s">
        <v>23</v>
      </c>
      <c r="B25" s="2"/>
    </row>
    <row r="26" customFormat="false" ht="15" hidden="false" customHeight="false" outlineLevel="0" collapsed="false">
      <c r="A26" s="2" t="s">
        <v>24</v>
      </c>
      <c r="B26" s="2"/>
    </row>
    <row r="27" customFormat="false" ht="15" hidden="false" customHeight="false" outlineLevel="0" collapsed="false">
      <c r="A27" s="2" t="s">
        <v>25</v>
      </c>
      <c r="B27" s="2"/>
    </row>
    <row r="28" customFormat="false" ht="15" hidden="false" customHeight="false" outlineLevel="0" collapsed="false">
      <c r="A28" s="2" t="s">
        <v>26</v>
      </c>
      <c r="B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27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39</v>
      </c>
      <c r="B2" s="4" t="n">
        <v>3.45</v>
      </c>
      <c r="C2" s="5" t="n">
        <v>232</v>
      </c>
      <c r="D2" s="5" t="n">
        <v>181</v>
      </c>
      <c r="E2" s="5" t="n">
        <v>40</v>
      </c>
      <c r="F2" s="5" t="n">
        <v>51</v>
      </c>
      <c r="G2" s="5" t="n">
        <v>37</v>
      </c>
      <c r="H2" s="5" t="n">
        <v>0</v>
      </c>
      <c r="I2" s="5" t="n">
        <v>124</v>
      </c>
      <c r="J2" s="5" t="n">
        <v>1</v>
      </c>
      <c r="K2" s="5" t="n">
        <v>0</v>
      </c>
      <c r="L2" s="5" t="n">
        <v>0</v>
      </c>
      <c r="M2" s="5" t="n">
        <v>0</v>
      </c>
      <c r="N2" s="5" t="n">
        <v>72</v>
      </c>
      <c r="O2" s="5" t="n">
        <v>47</v>
      </c>
      <c r="P2" s="5" t="n">
        <v>36</v>
      </c>
      <c r="Q2" s="5" t="n">
        <v>28</v>
      </c>
      <c r="R2" s="5" t="n">
        <v>18</v>
      </c>
      <c r="S2" s="5" t="n">
        <v>37</v>
      </c>
      <c r="T2" s="8" t="n">
        <f aca="false">IF(D2&gt;0,C2/D2,"")</f>
        <v>1.28176795580111</v>
      </c>
      <c r="U2" s="6" t="n">
        <f aca="false">IF(C2&gt;0,F2/C2,"")</f>
        <v>0.219827586206897</v>
      </c>
      <c r="V2" s="4" t="n">
        <f aca="false">IF(C2&gt;0,B2/C2*1000,"")</f>
        <v>14.8706896551724</v>
      </c>
      <c r="W2" s="4" t="n">
        <f aca="false">IF(F2&gt;0,B2/F2,"")</f>
        <v>0.0676470588235294</v>
      </c>
      <c r="X2" s="4" t="str">
        <f aca="false">IF(H2&gt;0,B2/H2,"")</f>
        <v/>
      </c>
      <c r="Y2" s="7" t="n">
        <f aca="false">IF(F2&gt;0,G2/F2,"")</f>
        <v>0.725490196078431</v>
      </c>
      <c r="Z2" s="7" t="n">
        <f aca="false">IF(G2&gt;0,H2/G2,"")</f>
        <v>0</v>
      </c>
      <c r="AA2" s="6" t="n">
        <f aca="false">IF(C2&gt;0,I2/C2,"")</f>
        <v>0.53448275862069</v>
      </c>
      <c r="AB2" s="7" t="n">
        <f aca="false">IF(C2&gt;0,N2/C2,"")</f>
        <v>0.310344827586207</v>
      </c>
      <c r="AC2" s="7" t="n">
        <f aca="false">IF(N2&gt;0,R2/N2,"")</f>
        <v>0.25</v>
      </c>
    </row>
    <row r="3" customFormat="false" ht="15" hidden="false" customHeight="false" outlineLevel="0" collapsed="false">
      <c r="A3" s="2" t="s">
        <v>40</v>
      </c>
      <c r="B3" s="4" t="n">
        <v>63.82</v>
      </c>
      <c r="C3" s="5" t="n">
        <v>898</v>
      </c>
      <c r="D3" s="5" t="n">
        <v>756</v>
      </c>
      <c r="E3" s="5" t="n">
        <v>76</v>
      </c>
      <c r="F3" s="5" t="n">
        <v>55</v>
      </c>
      <c r="G3" s="5" t="n">
        <v>42</v>
      </c>
      <c r="H3" s="5" t="n">
        <v>1</v>
      </c>
      <c r="I3" s="5" t="n">
        <v>475</v>
      </c>
      <c r="J3" s="5" t="n">
        <v>3</v>
      </c>
      <c r="K3" s="5" t="n">
        <v>0</v>
      </c>
      <c r="L3" s="5" t="n">
        <v>1</v>
      </c>
      <c r="M3" s="5" t="n">
        <v>1</v>
      </c>
      <c r="N3" s="5" t="n">
        <v>415</v>
      </c>
      <c r="O3" s="5" t="n">
        <v>338</v>
      </c>
      <c r="P3" s="5" t="n">
        <v>137</v>
      </c>
      <c r="Q3" s="5" t="n">
        <v>62</v>
      </c>
      <c r="R3" s="5" t="n">
        <v>31</v>
      </c>
      <c r="S3" s="5" t="n">
        <v>35</v>
      </c>
      <c r="T3" s="8" t="n">
        <f aca="false">IF(D3&gt;0,C3/D3,"")</f>
        <v>1.18783068783069</v>
      </c>
      <c r="U3" s="6" t="n">
        <f aca="false">IF(C3&gt;0,F3/C3,"")</f>
        <v>0.0612472160356347</v>
      </c>
      <c r="V3" s="4" t="n">
        <f aca="false">IF(C3&gt;0,B3/C3*1000,"")</f>
        <v>71.0690423162584</v>
      </c>
      <c r="W3" s="4" t="n">
        <f aca="false">IF(F3&gt;0,B3/F3,"")</f>
        <v>1.16036363636364</v>
      </c>
      <c r="X3" s="4" t="n">
        <f aca="false">IF(H3&gt;0,B3/H3,"")</f>
        <v>63.82</v>
      </c>
      <c r="Y3" s="7" t="n">
        <f aca="false">IF(F3&gt;0,G3/F3,"")</f>
        <v>0.763636363636364</v>
      </c>
      <c r="Z3" s="7" t="n">
        <f aca="false">IF(G3&gt;0,H3/G3,"")</f>
        <v>0.0238095238095238</v>
      </c>
      <c r="AA3" s="6" t="n">
        <f aca="false">IF(C3&gt;0,I3/C3,"")</f>
        <v>0.528953229398664</v>
      </c>
      <c r="AB3" s="7" t="n">
        <f aca="false">IF(C3&gt;0,N3/C3,"")</f>
        <v>0.462138084632517</v>
      </c>
      <c r="AC3" s="7" t="n">
        <f aca="false">IF(N3&gt;0,R3/N3,"")</f>
        <v>0.0746987951807229</v>
      </c>
    </row>
    <row r="4" customFormat="false" ht="15" hidden="false" customHeight="false" outlineLevel="0" collapsed="false">
      <c r="A4" s="2" t="s">
        <v>41</v>
      </c>
      <c r="B4" s="4" t="n">
        <v>29.93</v>
      </c>
      <c r="C4" s="5" t="n">
        <v>474</v>
      </c>
      <c r="D4" s="5" t="n">
        <v>429</v>
      </c>
      <c r="E4" s="5" t="n">
        <v>31</v>
      </c>
      <c r="F4" s="5" t="n">
        <v>22</v>
      </c>
      <c r="G4" s="5" t="n">
        <v>19</v>
      </c>
      <c r="H4" s="5" t="n">
        <v>0</v>
      </c>
      <c r="I4" s="5" t="n">
        <v>255</v>
      </c>
      <c r="J4" s="5" t="n">
        <v>6</v>
      </c>
      <c r="K4" s="5" t="n">
        <v>0</v>
      </c>
      <c r="L4" s="5" t="n">
        <v>2</v>
      </c>
      <c r="M4" s="5" t="n">
        <v>0</v>
      </c>
      <c r="N4" s="5" t="n">
        <v>225</v>
      </c>
      <c r="O4" s="5" t="n">
        <v>167</v>
      </c>
      <c r="P4" s="5" t="n">
        <v>61</v>
      </c>
      <c r="Q4" s="5" t="n">
        <v>25</v>
      </c>
      <c r="R4" s="5" t="n">
        <v>12</v>
      </c>
      <c r="S4" s="5" t="n">
        <v>13</v>
      </c>
      <c r="T4" s="8" t="n">
        <f aca="false">IF(D4&gt;0,C4/D4,"")</f>
        <v>1.1048951048951</v>
      </c>
      <c r="U4" s="6" t="n">
        <f aca="false">IF(C4&gt;0,F4/C4,"")</f>
        <v>0.0464135021097046</v>
      </c>
      <c r="V4" s="4" t="n">
        <f aca="false">IF(C4&gt;0,B4/C4*1000,"")</f>
        <v>63.1434599156118</v>
      </c>
      <c r="W4" s="4" t="n">
        <f aca="false">IF(F4&gt;0,B4/F4,"")</f>
        <v>1.36045454545455</v>
      </c>
      <c r="X4" s="4" t="str">
        <f aca="false">IF(H4&gt;0,B4/H4,"")</f>
        <v/>
      </c>
      <c r="Y4" s="7" t="n">
        <f aca="false">IF(F4&gt;0,G4/F4,"")</f>
        <v>0.863636363636364</v>
      </c>
      <c r="Z4" s="7" t="n">
        <f aca="false">IF(G4&gt;0,H4/G4,"")</f>
        <v>0</v>
      </c>
      <c r="AA4" s="6" t="n">
        <f aca="false">IF(C4&gt;0,I4/C4,"")</f>
        <v>0.537974683544304</v>
      </c>
      <c r="AB4" s="7" t="n">
        <f aca="false">IF(C4&gt;0,N4/C4,"")</f>
        <v>0.474683544303797</v>
      </c>
      <c r="AC4" s="7" t="n">
        <f aca="false">IF(N4&gt;0,R4/N4,"")</f>
        <v>0.0533333333333333</v>
      </c>
    </row>
    <row r="5" customFormat="false" ht="15" hidden="false" customHeight="false" outlineLevel="0" collapsed="false">
      <c r="A5" s="2" t="s">
        <v>42</v>
      </c>
      <c r="B5" s="4" t="n">
        <v>30.22</v>
      </c>
      <c r="C5" s="5" t="n">
        <v>335</v>
      </c>
      <c r="D5" s="5" t="n">
        <v>295</v>
      </c>
      <c r="E5" s="5" t="n">
        <v>27</v>
      </c>
      <c r="F5" s="5" t="n">
        <v>21</v>
      </c>
      <c r="G5" s="5" t="n">
        <v>19</v>
      </c>
      <c r="H5" s="5" t="n">
        <v>0</v>
      </c>
      <c r="I5" s="5" t="n">
        <v>183</v>
      </c>
      <c r="J5" s="5" t="n">
        <v>3</v>
      </c>
      <c r="K5" s="5" t="n">
        <v>0</v>
      </c>
      <c r="L5" s="5" t="n">
        <v>0</v>
      </c>
      <c r="M5" s="5" t="n">
        <v>0</v>
      </c>
      <c r="N5" s="5" t="n">
        <v>159</v>
      </c>
      <c r="O5" s="5" t="n">
        <v>121</v>
      </c>
      <c r="P5" s="5" t="n">
        <v>44</v>
      </c>
      <c r="Q5" s="5" t="n">
        <v>22</v>
      </c>
      <c r="R5" s="5" t="n">
        <v>11</v>
      </c>
      <c r="S5" s="5" t="n">
        <v>12</v>
      </c>
      <c r="T5" s="8" t="n">
        <f aca="false">IF(D5&gt;0,C5/D5,"")</f>
        <v>1.13559322033898</v>
      </c>
      <c r="U5" s="6" t="n">
        <f aca="false">IF(C5&gt;0,F5/C5,"")</f>
        <v>0.0626865671641791</v>
      </c>
      <c r="V5" s="4" t="n">
        <f aca="false">IF(C5&gt;0,B5/C5*1000,"")</f>
        <v>90.2089552238806</v>
      </c>
      <c r="W5" s="4" t="n">
        <f aca="false">IF(F5&gt;0,B5/F5,"")</f>
        <v>1.43904761904762</v>
      </c>
      <c r="X5" s="4" t="str">
        <f aca="false">IF(H5&gt;0,B5/H5,"")</f>
        <v/>
      </c>
      <c r="Y5" s="7" t="n">
        <f aca="false">IF(F5&gt;0,G5/F5,"")</f>
        <v>0.904761904761905</v>
      </c>
      <c r="Z5" s="7" t="n">
        <f aca="false">IF(G5&gt;0,H5/G5,"")</f>
        <v>0</v>
      </c>
      <c r="AA5" s="6" t="n">
        <f aca="false">IF(C5&gt;0,I5/C5,"")</f>
        <v>0.546268656716418</v>
      </c>
      <c r="AB5" s="7" t="n">
        <f aca="false">IF(C5&gt;0,N5/C5,"")</f>
        <v>0.474626865671642</v>
      </c>
      <c r="AC5" s="7" t="n">
        <f aca="false">IF(N5&gt;0,R5/N5,"")</f>
        <v>0.0691823899371069</v>
      </c>
    </row>
    <row r="6" customFormat="false" ht="15" hidden="false" customHeight="false" outlineLevel="0" collapsed="false">
      <c r="A6" s="2" t="s">
        <v>43</v>
      </c>
      <c r="B6" s="4" t="n">
        <v>33.69</v>
      </c>
      <c r="C6" s="5" t="n">
        <v>410</v>
      </c>
      <c r="D6" s="5" t="n">
        <v>357</v>
      </c>
      <c r="E6" s="5" t="n">
        <v>19</v>
      </c>
      <c r="F6" s="5" t="n">
        <v>14</v>
      </c>
      <c r="G6" s="5" t="n">
        <v>10</v>
      </c>
      <c r="H6" s="5" t="n">
        <v>0</v>
      </c>
      <c r="I6" s="5" t="n">
        <v>208</v>
      </c>
      <c r="J6" s="5" t="n">
        <v>4</v>
      </c>
      <c r="K6" s="5" t="n">
        <v>0</v>
      </c>
      <c r="L6" s="5" t="n">
        <v>1</v>
      </c>
      <c r="M6" s="5" t="n">
        <v>0</v>
      </c>
      <c r="N6" s="5" t="n">
        <v>189</v>
      </c>
      <c r="O6" s="5" t="n">
        <v>145</v>
      </c>
      <c r="P6" s="5" t="n">
        <v>53</v>
      </c>
      <c r="Q6" s="5" t="n">
        <v>32</v>
      </c>
      <c r="R6" s="5" t="n">
        <v>17</v>
      </c>
      <c r="S6" s="5" t="n">
        <v>18</v>
      </c>
      <c r="T6" s="8" t="n">
        <f aca="false">IF(D6&gt;0,C6/D6,"")</f>
        <v>1.1484593837535</v>
      </c>
      <c r="U6" s="6" t="n">
        <f aca="false">IF(C6&gt;0,F6/C6,"")</f>
        <v>0.0341463414634146</v>
      </c>
      <c r="V6" s="4" t="n">
        <f aca="false">IF(C6&gt;0,B6/C6*1000,"")</f>
        <v>82.1707317073171</v>
      </c>
      <c r="W6" s="4" t="n">
        <f aca="false">IF(F6&gt;0,B6/F6,"")</f>
        <v>2.40642857142857</v>
      </c>
      <c r="X6" s="4" t="str">
        <f aca="false">IF(H6&gt;0,B6/H6,"")</f>
        <v/>
      </c>
      <c r="Y6" s="7" t="n">
        <f aca="false">IF(F6&gt;0,G6/F6,"")</f>
        <v>0.714285714285714</v>
      </c>
      <c r="Z6" s="7" t="n">
        <f aca="false">IF(G6&gt;0,H6/G6,"")</f>
        <v>0</v>
      </c>
      <c r="AA6" s="6" t="n">
        <f aca="false">IF(C6&gt;0,I6/C6,"")</f>
        <v>0.507317073170732</v>
      </c>
      <c r="AB6" s="7" t="n">
        <f aca="false">IF(C6&gt;0,N6/C6,"")</f>
        <v>0.460975609756098</v>
      </c>
      <c r="AC6" s="7" t="n">
        <f aca="false">IF(N6&gt;0,R6/N6,"")</f>
        <v>0.0899470899470899</v>
      </c>
    </row>
    <row r="7" customFormat="false" ht="15" hidden="false" customHeight="false" outlineLevel="0" collapsed="false">
      <c r="A7" s="2" t="s">
        <v>44</v>
      </c>
      <c r="B7" s="4" t="n">
        <v>49.93</v>
      </c>
      <c r="C7" s="5" t="n">
        <v>484</v>
      </c>
      <c r="D7" s="5" t="n">
        <v>425</v>
      </c>
      <c r="E7" s="5" t="n">
        <v>28</v>
      </c>
      <c r="F7" s="5" t="n">
        <v>20</v>
      </c>
      <c r="G7" s="5" t="n">
        <v>18</v>
      </c>
      <c r="H7" s="5" t="n">
        <v>1</v>
      </c>
      <c r="I7" s="5" t="n">
        <v>148</v>
      </c>
      <c r="J7" s="5" t="n">
        <v>3</v>
      </c>
      <c r="K7" s="5" t="n">
        <v>0</v>
      </c>
      <c r="L7" s="5" t="n">
        <v>0</v>
      </c>
      <c r="M7" s="5" t="n">
        <v>1</v>
      </c>
      <c r="N7" s="5" t="n">
        <v>124</v>
      </c>
      <c r="O7" s="5" t="n">
        <v>88</v>
      </c>
      <c r="P7" s="5" t="n">
        <v>41</v>
      </c>
      <c r="Q7" s="5" t="n">
        <v>21</v>
      </c>
      <c r="R7" s="5" t="n">
        <v>12</v>
      </c>
      <c r="S7" s="5" t="n">
        <v>18</v>
      </c>
      <c r="T7" s="8" t="n">
        <f aca="false">IF(D7&gt;0,C7/D7,"")</f>
        <v>1.13882352941176</v>
      </c>
      <c r="U7" s="6" t="n">
        <f aca="false">IF(C7&gt;0,F7/C7,"")</f>
        <v>0.0413223140495868</v>
      </c>
      <c r="V7" s="4" t="n">
        <f aca="false">IF(C7&gt;0,B7/C7*1000,"")</f>
        <v>103.161157024793</v>
      </c>
      <c r="W7" s="4" t="n">
        <f aca="false">IF(F7&gt;0,B7/F7,"")</f>
        <v>2.4965</v>
      </c>
      <c r="X7" s="4" t="n">
        <f aca="false">IF(H7&gt;0,B7/H7,"")</f>
        <v>49.93</v>
      </c>
      <c r="Y7" s="7" t="n">
        <f aca="false">IF(F7&gt;0,G7/F7,"")</f>
        <v>0.9</v>
      </c>
      <c r="Z7" s="7" t="n">
        <f aca="false">IF(G7&gt;0,H7/G7,"")</f>
        <v>0.0555555555555556</v>
      </c>
      <c r="AA7" s="6" t="n">
        <f aca="false">IF(C7&gt;0,I7/C7,"")</f>
        <v>0.305785123966942</v>
      </c>
      <c r="AB7" s="7" t="n">
        <f aca="false">IF(C7&gt;0,N7/C7,"")</f>
        <v>0.256198347107438</v>
      </c>
      <c r="AC7" s="7" t="n">
        <f aca="false">IF(N7&gt;0,R7/N7,"")</f>
        <v>0.0967741935483871</v>
      </c>
    </row>
    <row r="8" customFormat="false" ht="15" hidden="false" customHeight="false" outlineLevel="0" collapsed="false">
      <c r="A8" s="2" t="s">
        <v>45</v>
      </c>
      <c r="B8" s="4" t="n">
        <v>47.18</v>
      </c>
      <c r="C8" s="5" t="n">
        <v>445</v>
      </c>
      <c r="D8" s="5" t="n">
        <v>330</v>
      </c>
      <c r="E8" s="5" t="n">
        <v>17</v>
      </c>
      <c r="F8" s="5" t="n">
        <v>14</v>
      </c>
      <c r="G8" s="5" t="n">
        <v>10</v>
      </c>
      <c r="H8" s="5" t="n">
        <v>1</v>
      </c>
      <c r="I8" s="5" t="n">
        <v>65</v>
      </c>
      <c r="J8" s="5" t="n">
        <v>0</v>
      </c>
      <c r="K8" s="5" t="n">
        <v>0</v>
      </c>
      <c r="L8" s="5" t="n">
        <v>0</v>
      </c>
      <c r="M8" s="5" t="n">
        <v>3</v>
      </c>
      <c r="N8" s="5" t="n">
        <v>48</v>
      </c>
      <c r="O8" s="5" t="n">
        <v>43</v>
      </c>
      <c r="P8" s="5" t="n">
        <v>20</v>
      </c>
      <c r="Q8" s="5" t="n">
        <v>14</v>
      </c>
      <c r="R8" s="5" t="n">
        <v>10</v>
      </c>
      <c r="S8" s="5" t="n">
        <v>15</v>
      </c>
      <c r="T8" s="8" t="n">
        <f aca="false">IF(D8&gt;0,C8/D8,"")</f>
        <v>1.34848484848485</v>
      </c>
      <c r="U8" s="6" t="n">
        <f aca="false">IF(C8&gt;0,F8/C8,"")</f>
        <v>0.0314606741573034</v>
      </c>
      <c r="V8" s="4" t="n">
        <f aca="false">IF(C8&gt;0,B8/C8*1000,"")</f>
        <v>106.022471910112</v>
      </c>
      <c r="W8" s="4" t="n">
        <f aca="false">IF(F8&gt;0,B8/F8,"")</f>
        <v>3.37</v>
      </c>
      <c r="X8" s="4" t="n">
        <f aca="false">IF(H8&gt;0,B8/H8,"")</f>
        <v>47.18</v>
      </c>
      <c r="Y8" s="7" t="n">
        <f aca="false">IF(F8&gt;0,G8/F8,"")</f>
        <v>0.714285714285714</v>
      </c>
      <c r="Z8" s="7" t="n">
        <f aca="false">IF(G8&gt;0,H8/G8,"")</f>
        <v>0.1</v>
      </c>
      <c r="AA8" s="6" t="n">
        <f aca="false">IF(C8&gt;0,I8/C8,"")</f>
        <v>0.146067415730337</v>
      </c>
      <c r="AB8" s="7" t="n">
        <f aca="false">IF(C8&gt;0,N8/C8,"")</f>
        <v>0.107865168539326</v>
      </c>
      <c r="AC8" s="7" t="n">
        <f aca="false">IF(N8&gt;0,R8/N8,"")</f>
        <v>0.208333333333333</v>
      </c>
    </row>
    <row r="9" customFormat="false" ht="15" hidden="false" customHeight="false" outlineLevel="0" collapsed="false">
      <c r="A9" s="2" t="s">
        <v>46</v>
      </c>
      <c r="B9" s="4" t="n">
        <v>47.04</v>
      </c>
      <c r="C9" s="5" t="n">
        <v>366</v>
      </c>
      <c r="D9" s="5" t="n">
        <v>294</v>
      </c>
      <c r="E9" s="5" t="n">
        <v>9</v>
      </c>
      <c r="F9" s="5" t="n">
        <v>3</v>
      </c>
      <c r="G9" s="5" t="n">
        <v>2</v>
      </c>
      <c r="H9" s="5" t="n">
        <v>0</v>
      </c>
      <c r="I9" s="5" t="n">
        <v>47</v>
      </c>
      <c r="J9" s="5" t="n">
        <v>4</v>
      </c>
      <c r="K9" s="5" t="n">
        <v>0</v>
      </c>
      <c r="L9" s="5" t="n">
        <v>0</v>
      </c>
      <c r="M9" s="5" t="n">
        <v>0</v>
      </c>
      <c r="N9" s="5" t="n">
        <v>40</v>
      </c>
      <c r="O9" s="5" t="n">
        <v>34</v>
      </c>
      <c r="P9" s="5" t="n">
        <v>12</v>
      </c>
      <c r="Q9" s="5" t="n">
        <v>5</v>
      </c>
      <c r="R9" s="5" t="n">
        <v>4</v>
      </c>
      <c r="S9" s="5" t="n">
        <v>5</v>
      </c>
      <c r="T9" s="8" t="n">
        <f aca="false">IF(D9&gt;0,C9/D9,"")</f>
        <v>1.24489795918367</v>
      </c>
      <c r="U9" s="6" t="n">
        <f aca="false">IF(C9&gt;0,F9/C9,"")</f>
        <v>0.00819672131147541</v>
      </c>
      <c r="V9" s="4" t="n">
        <f aca="false">IF(C9&gt;0,B9/C9*1000,"")</f>
        <v>128.524590163934</v>
      </c>
      <c r="W9" s="4" t="n">
        <f aca="false">IF(F9&gt;0,B9/F9,"")</f>
        <v>15.68</v>
      </c>
      <c r="X9" s="4" t="str">
        <f aca="false">IF(H9&gt;0,B9/H9,"")</f>
        <v/>
      </c>
      <c r="Y9" s="7" t="n">
        <f aca="false">IF(F9&gt;0,G9/F9,"")</f>
        <v>0.666666666666667</v>
      </c>
      <c r="Z9" s="7" t="n">
        <f aca="false">IF(G9&gt;0,H9/G9,"")</f>
        <v>0</v>
      </c>
      <c r="AA9" s="6" t="n">
        <f aca="false">IF(C9&gt;0,I9/C9,"")</f>
        <v>0.128415300546448</v>
      </c>
      <c r="AB9" s="7" t="n">
        <f aca="false">IF(C9&gt;0,N9/C9,"")</f>
        <v>0.109289617486339</v>
      </c>
      <c r="AC9" s="7" t="n">
        <f aca="false">IF(N9&gt;0,R9/N9,"")</f>
        <v>0.1</v>
      </c>
    </row>
    <row r="10" customFormat="false" ht="15" hidden="false" customHeight="false" outlineLevel="0" collapsed="false">
      <c r="A10" s="2" t="s">
        <v>47</v>
      </c>
      <c r="B10" s="4" t="n">
        <v>48.46</v>
      </c>
      <c r="C10" s="5" t="n">
        <v>304</v>
      </c>
      <c r="D10" s="5" t="n">
        <v>254</v>
      </c>
      <c r="E10" s="5" t="n">
        <v>8</v>
      </c>
      <c r="F10" s="5" t="n">
        <v>5</v>
      </c>
      <c r="G10" s="5" t="n">
        <v>3</v>
      </c>
      <c r="H10" s="5" t="n">
        <v>1</v>
      </c>
      <c r="I10" s="5" t="n">
        <v>58</v>
      </c>
      <c r="J10" s="5" t="n">
        <v>1</v>
      </c>
      <c r="K10" s="5" t="n">
        <v>0</v>
      </c>
      <c r="L10" s="5" t="n">
        <v>1</v>
      </c>
      <c r="M10" s="5" t="n">
        <v>1</v>
      </c>
      <c r="N10" s="5" t="n">
        <v>50</v>
      </c>
      <c r="O10" s="5" t="n">
        <v>34</v>
      </c>
      <c r="P10" s="5" t="n">
        <v>9</v>
      </c>
      <c r="Q10" s="5" t="n">
        <v>4</v>
      </c>
      <c r="R10" s="5" t="n">
        <v>3</v>
      </c>
      <c r="S10" s="5" t="n">
        <v>3</v>
      </c>
      <c r="T10" s="8" t="n">
        <f aca="false">IF(D10&gt;0,C10/D10,"")</f>
        <v>1.19685039370079</v>
      </c>
      <c r="U10" s="6" t="n">
        <f aca="false">IF(C10&gt;0,F10/C10,"")</f>
        <v>0.0164473684210526</v>
      </c>
      <c r="V10" s="4" t="n">
        <f aca="false">IF(C10&gt;0,B10/C10*1000,"")</f>
        <v>159.407894736842</v>
      </c>
      <c r="W10" s="4" t="n">
        <f aca="false">IF(F10&gt;0,B10/F10,"")</f>
        <v>9.692</v>
      </c>
      <c r="X10" s="4" t="n">
        <f aca="false">IF(H10&gt;0,B10/H10,"")</f>
        <v>48.46</v>
      </c>
      <c r="Y10" s="7" t="n">
        <f aca="false">IF(F10&gt;0,G10/F10,"")</f>
        <v>0.6</v>
      </c>
      <c r="Z10" s="7" t="n">
        <f aca="false">IF(G10&gt;0,H10/G10,"")</f>
        <v>0.333333333333333</v>
      </c>
      <c r="AA10" s="6" t="n">
        <f aca="false">IF(C10&gt;0,I10/C10,"")</f>
        <v>0.190789473684211</v>
      </c>
      <c r="AB10" s="7" t="n">
        <f aca="false">IF(C10&gt;0,N10/C10,"")</f>
        <v>0.164473684210526</v>
      </c>
      <c r="AC10" s="7" t="n">
        <f aca="false">IF(N10&gt;0,R10/N10,"")</f>
        <v>0.06</v>
      </c>
    </row>
    <row r="11" customFormat="false" ht="15" hidden="false" customHeight="false" outlineLevel="0" collapsed="false">
      <c r="A11" s="2" t="s">
        <v>48</v>
      </c>
      <c r="B11" s="4" t="n">
        <v>35.93</v>
      </c>
      <c r="C11" s="5" t="n">
        <v>389</v>
      </c>
      <c r="D11" s="5" t="n">
        <v>320</v>
      </c>
      <c r="E11" s="5" t="n">
        <v>13</v>
      </c>
      <c r="F11" s="5" t="n">
        <v>10</v>
      </c>
      <c r="G11" s="5" t="n">
        <v>8</v>
      </c>
      <c r="H11" s="5" t="n">
        <v>0</v>
      </c>
      <c r="I11" s="5" t="n">
        <v>43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32</v>
      </c>
      <c r="O11" s="5" t="n">
        <v>25</v>
      </c>
      <c r="P11" s="5" t="n">
        <v>10</v>
      </c>
      <c r="Q11" s="5" t="n">
        <v>4</v>
      </c>
      <c r="R11" s="5" t="n">
        <v>3</v>
      </c>
      <c r="S11" s="5" t="n">
        <v>3</v>
      </c>
      <c r="T11" s="8" t="n">
        <f aca="false">IF(D11&gt;0,C11/D11,"")</f>
        <v>1.215625</v>
      </c>
      <c r="U11" s="6" t="n">
        <f aca="false">IF(C11&gt;0,F11/C11,"")</f>
        <v>0.025706940874036</v>
      </c>
      <c r="V11" s="4" t="n">
        <f aca="false">IF(C11&gt;0,B11/C11*1000,"")</f>
        <v>92.3650385604113</v>
      </c>
      <c r="W11" s="4" t="n">
        <f aca="false">IF(F11&gt;0,B11/F11,"")</f>
        <v>3.593</v>
      </c>
      <c r="X11" s="4" t="str">
        <f aca="false">IF(H11&gt;0,B11/H11,"")</f>
        <v/>
      </c>
      <c r="Y11" s="7" t="n">
        <f aca="false">IF(F11&gt;0,G11/F11,"")</f>
        <v>0.8</v>
      </c>
      <c r="Z11" s="7" t="n">
        <f aca="false">IF(G11&gt;0,H11/G11,"")</f>
        <v>0</v>
      </c>
      <c r="AA11" s="6" t="n">
        <f aca="false">IF(C11&gt;0,I11/C11,"")</f>
        <v>0.110539845758355</v>
      </c>
      <c r="AB11" s="7" t="n">
        <f aca="false">IF(C11&gt;0,N11/C11,"")</f>
        <v>0.0822622107969152</v>
      </c>
      <c r="AC11" s="7" t="n">
        <f aca="false">IF(N11&gt;0,R11/N11,"")</f>
        <v>0.09375</v>
      </c>
    </row>
    <row r="12" customFormat="false" ht="15" hidden="false" customHeight="false" outlineLevel="0" collapsed="false">
      <c r="A12" s="2" t="s">
        <v>49</v>
      </c>
      <c r="B12" s="4" t="n">
        <v>31.54</v>
      </c>
      <c r="C12" s="5" t="n">
        <v>291</v>
      </c>
      <c r="D12" s="5" t="n">
        <v>251</v>
      </c>
      <c r="E12" s="5" t="n">
        <v>14</v>
      </c>
      <c r="F12" s="5" t="n">
        <v>14</v>
      </c>
      <c r="G12" s="5" t="n">
        <v>9</v>
      </c>
      <c r="H12" s="5" t="n">
        <v>0</v>
      </c>
      <c r="I12" s="5" t="n">
        <v>32</v>
      </c>
      <c r="J12" s="5" t="n">
        <v>1</v>
      </c>
      <c r="K12" s="5" t="n">
        <v>0</v>
      </c>
      <c r="L12" s="5" t="n">
        <v>0</v>
      </c>
      <c r="M12" s="5" t="n">
        <v>0</v>
      </c>
      <c r="N12" s="5" t="n">
        <v>17</v>
      </c>
      <c r="O12" s="5" t="n">
        <v>15</v>
      </c>
      <c r="P12" s="5" t="n">
        <v>2</v>
      </c>
      <c r="Q12" s="5" t="n">
        <v>2</v>
      </c>
      <c r="R12" s="5" t="n">
        <v>0</v>
      </c>
      <c r="S12" s="5" t="n">
        <v>0</v>
      </c>
      <c r="T12" s="8" t="n">
        <f aca="false">IF(D12&gt;0,C12/D12,"")</f>
        <v>1.1593625498008</v>
      </c>
      <c r="U12" s="6" t="n">
        <f aca="false">IF(C12&gt;0,F12/C12,"")</f>
        <v>0.0481099656357388</v>
      </c>
      <c r="V12" s="4" t="n">
        <f aca="false">IF(C12&gt;0,B12/C12*1000,"")</f>
        <v>108.384879725086</v>
      </c>
      <c r="W12" s="4" t="n">
        <f aca="false">IF(F12&gt;0,B12/F12,"")</f>
        <v>2.25285714285714</v>
      </c>
      <c r="X12" s="4" t="str">
        <f aca="false">IF(H12&gt;0,B12/H12,"")</f>
        <v/>
      </c>
      <c r="Y12" s="7" t="n">
        <f aca="false">IF(F12&gt;0,G12/F12,"")</f>
        <v>0.642857142857143</v>
      </c>
      <c r="Z12" s="7" t="n">
        <f aca="false">IF(G12&gt;0,H12/G12,"")</f>
        <v>0</v>
      </c>
      <c r="AA12" s="6" t="n">
        <f aca="false">IF(C12&gt;0,I12/C12,"")</f>
        <v>0.109965635738832</v>
      </c>
      <c r="AB12" s="7" t="n">
        <f aca="false">IF(C12&gt;0,N12/C12,"")</f>
        <v>0.0584192439862543</v>
      </c>
      <c r="AC12" s="7" t="n">
        <f aca="false">IF(N12&gt;0,R12/N12,"")</f>
        <v>0</v>
      </c>
    </row>
    <row r="13" customFormat="false" ht="15" hidden="false" customHeight="false" outlineLevel="0" collapsed="false">
      <c r="A13" s="2" t="s">
        <v>50</v>
      </c>
      <c r="B13" s="4" t="n">
        <v>11.78</v>
      </c>
      <c r="C13" s="5" t="n">
        <v>165</v>
      </c>
      <c r="D13" s="5" t="n">
        <v>149</v>
      </c>
      <c r="E13" s="5" t="n">
        <v>5</v>
      </c>
      <c r="F13" s="5" t="n">
        <v>4</v>
      </c>
      <c r="G13" s="5" t="n">
        <v>4</v>
      </c>
      <c r="H13" s="5" t="n">
        <v>0</v>
      </c>
      <c r="I13" s="5" t="n">
        <v>8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4</v>
      </c>
      <c r="O13" s="5" t="n">
        <v>3</v>
      </c>
      <c r="P13" s="5" t="n">
        <v>1</v>
      </c>
      <c r="Q13" s="5" t="n">
        <v>1</v>
      </c>
      <c r="R13" s="5" t="n">
        <v>1</v>
      </c>
      <c r="S13" s="5" t="n">
        <v>1</v>
      </c>
      <c r="T13" s="8" t="n">
        <f aca="false">IF(D13&gt;0,C13/D13,"")</f>
        <v>1.10738255033557</v>
      </c>
      <c r="U13" s="6" t="n">
        <f aca="false">IF(C13&gt;0,F13/C13,"")</f>
        <v>0.0242424242424242</v>
      </c>
      <c r="V13" s="4" t="n">
        <f aca="false">IF(C13&gt;0,B13/C13*1000,"")</f>
        <v>71.3939393939394</v>
      </c>
      <c r="W13" s="4" t="n">
        <f aca="false">IF(F13&gt;0,B13/F13,"")</f>
        <v>2.945</v>
      </c>
      <c r="X13" s="4" t="str">
        <f aca="false">IF(H13&gt;0,B13/H13,"")</f>
        <v/>
      </c>
      <c r="Y13" s="7" t="n">
        <f aca="false">IF(F13&gt;0,G13/F13,"")</f>
        <v>1</v>
      </c>
      <c r="Z13" s="7" t="n">
        <f aca="false">IF(G13&gt;0,H13/G13,"")</f>
        <v>0</v>
      </c>
      <c r="AA13" s="6" t="n">
        <f aca="false">IF(C13&gt;0,I13/C13,"")</f>
        <v>0.0484848484848485</v>
      </c>
      <c r="AB13" s="7" t="n">
        <f aca="false">IF(C13&gt;0,N13/C13,"")</f>
        <v>0.0242424242424242</v>
      </c>
      <c r="AC13" s="7" t="n">
        <f aca="false">IF(N13&gt;0,R13/N13,"")</f>
        <v>0.25</v>
      </c>
    </row>
    <row r="14" customFormat="false" ht="15" hidden="false" customHeight="false" outlineLevel="0" collapsed="false">
      <c r="A14" s="2" t="s">
        <v>51</v>
      </c>
      <c r="B14" s="4" t="n">
        <v>55.04</v>
      </c>
      <c r="C14" s="5" t="n">
        <v>437</v>
      </c>
      <c r="D14" s="5" t="n">
        <v>365</v>
      </c>
      <c r="E14" s="5" t="n">
        <v>6</v>
      </c>
      <c r="F14" s="5" t="n">
        <v>3</v>
      </c>
      <c r="G14" s="5" t="n">
        <v>2</v>
      </c>
      <c r="H14" s="5" t="n">
        <v>0</v>
      </c>
      <c r="I14" s="5" t="n">
        <v>17</v>
      </c>
      <c r="J14" s="5" t="n">
        <v>1</v>
      </c>
      <c r="K14" s="5" t="n">
        <v>0</v>
      </c>
      <c r="L14" s="5" t="n">
        <v>0</v>
      </c>
      <c r="M14" s="5" t="n">
        <v>0</v>
      </c>
      <c r="N14" s="5" t="n">
        <v>13</v>
      </c>
      <c r="O14" s="5" t="n">
        <v>9</v>
      </c>
      <c r="P14" s="5" t="n">
        <v>4</v>
      </c>
      <c r="Q14" s="5" t="n">
        <v>3</v>
      </c>
      <c r="R14" s="5" t="n">
        <v>1</v>
      </c>
      <c r="S14" s="5" t="n">
        <v>1</v>
      </c>
      <c r="T14" s="8" t="n">
        <f aca="false">IF(D14&gt;0,C14/D14,"")</f>
        <v>1.1972602739726</v>
      </c>
      <c r="U14" s="6" t="n">
        <f aca="false">IF(C14&gt;0,F14/C14,"")</f>
        <v>0.0068649885583524</v>
      </c>
      <c r="V14" s="4" t="n">
        <f aca="false">IF(C14&gt;0,B14/C14*1000,"")</f>
        <v>125.949656750572</v>
      </c>
      <c r="W14" s="4" t="n">
        <f aca="false">IF(F14&gt;0,B14/F14,"")</f>
        <v>18.3466666666667</v>
      </c>
      <c r="X14" s="4" t="str">
        <f aca="false">IF(H14&gt;0,B14/H14,"")</f>
        <v/>
      </c>
      <c r="Y14" s="7" t="n">
        <f aca="false">IF(F14&gt;0,G14/F14,"")</f>
        <v>0.666666666666667</v>
      </c>
      <c r="Z14" s="7" t="n">
        <f aca="false">IF(G14&gt;0,H14/G14,"")</f>
        <v>0</v>
      </c>
      <c r="AA14" s="6" t="n">
        <f aca="false">IF(C14&gt;0,I14/C14,"")</f>
        <v>0.0389016018306636</v>
      </c>
      <c r="AB14" s="7" t="n">
        <f aca="false">IF(C14&gt;0,N14/C14,"")</f>
        <v>0.0297482837528604</v>
      </c>
      <c r="AC14" s="7" t="n">
        <f aca="false">IF(N14&gt;0,R14/N14,"")</f>
        <v>0.0769230769230769</v>
      </c>
    </row>
    <row r="15" customFormat="false" ht="15" hidden="false" customHeight="false" outlineLevel="0" collapsed="false">
      <c r="A15" s="11" t="s">
        <v>52</v>
      </c>
      <c r="B15" s="12" t="n">
        <f aca="false">SUM(B2:B14)</f>
        <v>488.01</v>
      </c>
      <c r="C15" s="13" t="n">
        <f aca="false">SUM(C2:C14)</f>
        <v>5230</v>
      </c>
      <c r="D15" s="13"/>
      <c r="E15" s="13" t="n">
        <f aca="false">SUM(E2:E14)</f>
        <v>293</v>
      </c>
      <c r="F15" s="13" t="n">
        <f aca="false">SUM(F2:F14)</f>
        <v>236</v>
      </c>
      <c r="G15" s="13" t="n">
        <f aca="false">SUM(G2:G14)</f>
        <v>183</v>
      </c>
      <c r="H15" s="13" t="n">
        <f aca="false">SUM(H2:H14)</f>
        <v>4</v>
      </c>
      <c r="I15" s="13" t="n">
        <f aca="false">SUM(I2:I14)</f>
        <v>1663</v>
      </c>
      <c r="J15" s="13" t="n">
        <f aca="false">SUM(J2:J14)</f>
        <v>27</v>
      </c>
      <c r="K15" s="13" t="n">
        <f aca="false">SUM(K2:K14)</f>
        <v>0</v>
      </c>
      <c r="L15" s="13" t="n">
        <f aca="false">SUM(L2:L14)</f>
        <v>6</v>
      </c>
      <c r="M15" s="13" t="n">
        <f aca="false">SUM(M2:M14)</f>
        <v>6</v>
      </c>
      <c r="N15" s="13" t="n">
        <f aca="false">SUM(N2:N14)</f>
        <v>1388</v>
      </c>
      <c r="O15" s="13" t="n">
        <f aca="false">SUM(O2:O14)</f>
        <v>1069</v>
      </c>
      <c r="P15" s="13" t="n">
        <f aca="false">SUM(P2:P14)</f>
        <v>430</v>
      </c>
      <c r="Q15" s="13" t="n">
        <f aca="false">SUM(Q2:Q14)</f>
        <v>223</v>
      </c>
      <c r="R15" s="13" t="n">
        <f aca="false">SUM(R2:R14)</f>
        <v>123</v>
      </c>
      <c r="S15" s="13" t="n">
        <f aca="false">SUM(S2:S14)</f>
        <v>161</v>
      </c>
      <c r="T15" s="14" t="str">
        <f aca="false">IF(D15&gt;0,C15/D15,"")</f>
        <v/>
      </c>
      <c r="U15" s="15" t="n">
        <f aca="false">IF(C15&gt;0,F15/C15,"")</f>
        <v>0.0451242829827916</v>
      </c>
      <c r="V15" s="12" t="n">
        <f aca="false">IF(C15&gt;0,B15/C15*1000,"")</f>
        <v>93.3097514340344</v>
      </c>
      <c r="W15" s="12" t="n">
        <f aca="false">IF(F15&gt;0,B15/F15,"")</f>
        <v>2.06783898305085</v>
      </c>
      <c r="X15" s="12" t="n">
        <f aca="false">IF(H15&gt;0,B15/H15,"")</f>
        <v>122.0025</v>
      </c>
      <c r="Y15" s="16" t="n">
        <f aca="false">IF(F15&gt;0,G15/F15,"")</f>
        <v>0.775423728813559</v>
      </c>
      <c r="Z15" s="16" t="n">
        <f aca="false">IF(G15&gt;0,H15/G15,"")</f>
        <v>0.0218579234972678</v>
      </c>
      <c r="AA15" s="15" t="n">
        <f aca="false">IF(C15&gt;0,I15/C15,"")</f>
        <v>0.317973231357553</v>
      </c>
      <c r="AB15" s="16" t="n">
        <f aca="false">IF(C15&gt;0,N15/C15,"")</f>
        <v>0.265391969407266</v>
      </c>
      <c r="AC15" s="16" t="n">
        <f aca="false">IF(N15&gt;0,R15/N15,"")</f>
        <v>0.0886167146974063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53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54</v>
      </c>
      <c r="B2" s="4" t="n">
        <v>230.3</v>
      </c>
      <c r="C2" s="5" t="n">
        <v>2623</v>
      </c>
      <c r="D2" s="5" t="n">
        <v>1735</v>
      </c>
      <c r="E2" s="5" t="n">
        <v>180</v>
      </c>
      <c r="F2" s="5" t="n">
        <v>133</v>
      </c>
      <c r="G2" s="5" t="n">
        <v>109</v>
      </c>
      <c r="H2" s="5" t="n">
        <v>2</v>
      </c>
      <c r="I2" s="5" t="n">
        <v>1402</v>
      </c>
      <c r="J2" s="5" t="n">
        <v>20</v>
      </c>
      <c r="K2" s="5" t="n">
        <v>0</v>
      </c>
      <c r="L2" s="5" t="n">
        <v>5</v>
      </c>
      <c r="M2" s="5" t="n">
        <v>3</v>
      </c>
      <c r="N2" s="5" t="n">
        <v>1241</v>
      </c>
      <c r="O2" s="5" t="n">
        <v>988</v>
      </c>
      <c r="P2" s="5" t="n">
        <v>371</v>
      </c>
      <c r="Q2" s="5" t="n">
        <v>182</v>
      </c>
      <c r="R2" s="5" t="n">
        <v>98</v>
      </c>
      <c r="S2" s="5" t="n">
        <v>101</v>
      </c>
      <c r="T2" s="8" t="n">
        <f aca="false">IF(D2&gt;0,C2/D2,"")</f>
        <v>1.51181556195965</v>
      </c>
      <c r="U2" s="6" t="n">
        <f aca="false">IF(C2&gt;0,F2/C2,"")</f>
        <v>0.0507052992756386</v>
      </c>
      <c r="V2" s="4" t="n">
        <f aca="false">IF(C2&gt;0,B2/C2*1000,"")</f>
        <v>87.800228745711</v>
      </c>
      <c r="W2" s="4" t="n">
        <f aca="false">IF(F2&gt;0,B2/F2,"")</f>
        <v>1.73157894736842</v>
      </c>
      <c r="X2" s="4" t="n">
        <f aca="false">IF(H2&gt;0,B2/H2,"")</f>
        <v>115.15</v>
      </c>
      <c r="Y2" s="7" t="n">
        <f aca="false">IF(F2&gt;0,G2/F2,"")</f>
        <v>0.819548872180451</v>
      </c>
      <c r="Z2" s="7" t="n">
        <f aca="false">IF(G2&gt;0,H2/G2,"")</f>
        <v>0.018348623853211</v>
      </c>
      <c r="AA2" s="6" t="n">
        <f aca="false">IF(C2&gt;0,I2/C2,"")</f>
        <v>0.534502478078536</v>
      </c>
      <c r="AB2" s="7" t="n">
        <f aca="false">IF(C2&gt;0,N2/C2,"")</f>
        <v>0.473122378955395</v>
      </c>
      <c r="AC2" s="7" t="n">
        <f aca="false">IF(N2&gt;0,R2/N2,"")</f>
        <v>0.0789685737308622</v>
      </c>
    </row>
    <row r="3" customFormat="false" ht="15" hidden="false" customHeight="false" outlineLevel="0" collapsed="false">
      <c r="A3" s="2" t="s">
        <v>55</v>
      </c>
      <c r="B3" s="4" t="n">
        <v>220.67</v>
      </c>
      <c r="C3" s="5" t="n">
        <v>1936</v>
      </c>
      <c r="D3" s="5" t="n">
        <v>1211</v>
      </c>
      <c r="E3" s="5" t="n">
        <v>48</v>
      </c>
      <c r="F3" s="5" t="n">
        <v>35</v>
      </c>
      <c r="G3" s="5" t="n">
        <v>24</v>
      </c>
      <c r="H3" s="5" t="n">
        <v>1</v>
      </c>
      <c r="I3" s="5" t="n">
        <v>42</v>
      </c>
      <c r="J3" s="5" t="n">
        <v>3</v>
      </c>
      <c r="K3" s="5" t="n">
        <v>0</v>
      </c>
      <c r="L3" s="5" t="n">
        <v>1</v>
      </c>
      <c r="M3" s="5" t="n">
        <v>3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n">
        <f aca="false">IF(D3&gt;0,C3/D3,"")</f>
        <v>1.59867877786953</v>
      </c>
      <c r="U3" s="6" t="n">
        <f aca="false">IF(C3&gt;0,F3/C3,"")</f>
        <v>0.0180785123966942</v>
      </c>
      <c r="V3" s="4" t="n">
        <f aca="false">IF(C3&gt;0,B3/C3*1000,"")</f>
        <v>113.982438016529</v>
      </c>
      <c r="W3" s="4" t="n">
        <f aca="false">IF(F3&gt;0,B3/F3,"")</f>
        <v>6.30485714285714</v>
      </c>
      <c r="X3" s="4" t="n">
        <f aca="false">IF(H3&gt;0,B3/H3,"")</f>
        <v>220.67</v>
      </c>
      <c r="Y3" s="7" t="n">
        <f aca="false">IF(F3&gt;0,G3/F3,"")</f>
        <v>0.685714285714286</v>
      </c>
      <c r="Z3" s="7" t="n">
        <f aca="false">IF(G3&gt;0,H3/G3,"")</f>
        <v>0.0416666666666667</v>
      </c>
      <c r="AA3" s="6" t="n">
        <f aca="false">IF(C3&gt;0,I3/C3,"")</f>
        <v>0.0216942148760331</v>
      </c>
      <c r="AB3" s="7" t="n">
        <f aca="false">IF(C3&gt;0,N3/C3,"")</f>
        <v>0</v>
      </c>
      <c r="AC3" s="7" t="str">
        <f aca="false">IF(N3&gt;0,R3/N3,"")</f>
        <v/>
      </c>
    </row>
    <row r="4" customFormat="false" ht="15" hidden="false" customHeight="false" outlineLevel="0" collapsed="false">
      <c r="A4" s="2" t="s">
        <v>56</v>
      </c>
      <c r="B4" s="4" t="n">
        <v>12.43</v>
      </c>
      <c r="C4" s="5" t="n">
        <v>182</v>
      </c>
      <c r="D4" s="5" t="n">
        <v>131</v>
      </c>
      <c r="E4" s="5" t="n">
        <v>13</v>
      </c>
      <c r="F4" s="5" t="n">
        <v>6</v>
      </c>
      <c r="G4" s="5" t="n">
        <v>5</v>
      </c>
      <c r="H4" s="5" t="n">
        <v>0</v>
      </c>
      <c r="I4" s="5" t="n">
        <v>58</v>
      </c>
      <c r="J4" s="5" t="n">
        <v>1</v>
      </c>
      <c r="K4" s="5" t="n">
        <v>0</v>
      </c>
      <c r="L4" s="5" t="n">
        <v>0</v>
      </c>
      <c r="M4" s="5" t="n">
        <v>0</v>
      </c>
      <c r="N4" s="5" t="n">
        <v>51</v>
      </c>
      <c r="O4" s="5" t="n">
        <v>16</v>
      </c>
      <c r="P4" s="5" t="n">
        <v>12</v>
      </c>
      <c r="Q4" s="5" t="n">
        <v>7</v>
      </c>
      <c r="R4" s="5" t="n">
        <v>4</v>
      </c>
      <c r="S4" s="5" t="n">
        <v>12</v>
      </c>
      <c r="T4" s="8" t="n">
        <f aca="false">IF(D4&gt;0,C4/D4,"")</f>
        <v>1.38931297709924</v>
      </c>
      <c r="U4" s="6" t="n">
        <f aca="false">IF(C4&gt;0,F4/C4,"")</f>
        <v>0.032967032967033</v>
      </c>
      <c r="V4" s="4" t="n">
        <f aca="false">IF(C4&gt;0,B4/C4*1000,"")</f>
        <v>68.2967032967033</v>
      </c>
      <c r="W4" s="4" t="n">
        <f aca="false">IF(F4&gt;0,B4/F4,"")</f>
        <v>2.07166666666667</v>
      </c>
      <c r="X4" s="4" t="str">
        <f aca="false">IF(H4&gt;0,B4/H4,"")</f>
        <v/>
      </c>
      <c r="Y4" s="7" t="n">
        <f aca="false">IF(F4&gt;0,G4/F4,"")</f>
        <v>0.833333333333333</v>
      </c>
      <c r="Z4" s="7" t="n">
        <f aca="false">IF(G4&gt;0,H4/G4,"")</f>
        <v>0</v>
      </c>
      <c r="AA4" s="6" t="n">
        <f aca="false">IF(C4&gt;0,I4/C4,"")</f>
        <v>0.318681318681319</v>
      </c>
      <c r="AB4" s="7" t="n">
        <f aca="false">IF(C4&gt;0,N4/C4,"")</f>
        <v>0.28021978021978</v>
      </c>
      <c r="AC4" s="7" t="n">
        <f aca="false">IF(N4&gt;0,R4/N4,"")</f>
        <v>0.0784313725490196</v>
      </c>
    </row>
    <row r="5" customFormat="false" ht="15" hidden="false" customHeight="false" outlineLevel="0" collapsed="false">
      <c r="A5" s="2" t="s">
        <v>57</v>
      </c>
      <c r="B5" s="4" t="n">
        <v>11.19</v>
      </c>
      <c r="C5" s="5" t="n">
        <v>199</v>
      </c>
      <c r="D5" s="5" t="n">
        <v>160</v>
      </c>
      <c r="E5" s="5" t="n">
        <v>10</v>
      </c>
      <c r="F5" s="5" t="n">
        <v>12</v>
      </c>
      <c r="G5" s="5" t="n">
        <v>9</v>
      </c>
      <c r="H5" s="5" t="n">
        <v>1</v>
      </c>
      <c r="I5" s="5" t="n">
        <v>17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4</v>
      </c>
      <c r="O5" s="5" t="n">
        <v>4</v>
      </c>
      <c r="P5" s="5" t="n">
        <v>4</v>
      </c>
      <c r="Q5" s="5" t="n">
        <v>3</v>
      </c>
      <c r="R5" s="5" t="n">
        <v>2</v>
      </c>
      <c r="S5" s="5" t="n">
        <v>2</v>
      </c>
      <c r="T5" s="8" t="n">
        <f aca="false">IF(D5&gt;0,C5/D5,"")</f>
        <v>1.24375</v>
      </c>
      <c r="U5" s="6" t="n">
        <f aca="false">IF(C5&gt;0,F5/C5,"")</f>
        <v>0.0603015075376884</v>
      </c>
      <c r="V5" s="4" t="n">
        <f aca="false">IF(C5&gt;0,B5/C5*1000,"")</f>
        <v>56.2311557788945</v>
      </c>
      <c r="W5" s="4" t="n">
        <f aca="false">IF(F5&gt;0,B5/F5,"")</f>
        <v>0.9325</v>
      </c>
      <c r="X5" s="4" t="n">
        <f aca="false">IF(H5&gt;0,B5/H5,"")</f>
        <v>11.19</v>
      </c>
      <c r="Y5" s="7" t="n">
        <f aca="false">IF(F5&gt;0,G5/F5,"")</f>
        <v>0.75</v>
      </c>
      <c r="Z5" s="7" t="n">
        <f aca="false">IF(G5&gt;0,H5/G5,"")</f>
        <v>0.111111111111111</v>
      </c>
      <c r="AA5" s="6" t="n">
        <f aca="false">IF(C5&gt;0,I5/C5,"")</f>
        <v>0.085427135678392</v>
      </c>
      <c r="AB5" s="7" t="n">
        <f aca="false">IF(C5&gt;0,N5/C5,"")</f>
        <v>0.0201005025125628</v>
      </c>
      <c r="AC5" s="7" t="n">
        <f aca="false">IF(N5&gt;0,R5/N5,"")</f>
        <v>0.5</v>
      </c>
    </row>
    <row r="6" customFormat="false" ht="15" hidden="false" customHeight="false" outlineLevel="0" collapsed="false">
      <c r="A6" s="2" t="s">
        <v>58</v>
      </c>
      <c r="B6" s="4" t="n">
        <v>4.76</v>
      </c>
      <c r="C6" s="5" t="n">
        <v>65</v>
      </c>
      <c r="D6" s="5" t="n">
        <v>52</v>
      </c>
      <c r="E6" s="5" t="n">
        <v>1</v>
      </c>
      <c r="F6" s="5" t="n">
        <v>2</v>
      </c>
      <c r="G6" s="5" t="n">
        <v>2</v>
      </c>
      <c r="H6" s="5" t="n">
        <v>0</v>
      </c>
      <c r="I6" s="5" t="n">
        <v>3</v>
      </c>
      <c r="J6" s="5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 t="n">
        <f aca="false">IF(D6&gt;0,C6/D6,"")</f>
        <v>1.25</v>
      </c>
      <c r="U6" s="6" t="n">
        <f aca="false">IF(C6&gt;0,F6/C6,"")</f>
        <v>0.0307692307692308</v>
      </c>
      <c r="V6" s="4" t="n">
        <f aca="false">IF(C6&gt;0,B6/C6*1000,"")</f>
        <v>73.2307692307692</v>
      </c>
      <c r="W6" s="4" t="n">
        <f aca="false">IF(F6&gt;0,B6/F6,"")</f>
        <v>2.38</v>
      </c>
      <c r="X6" s="4" t="str">
        <f aca="false">IF(H6&gt;0,B6/H6,"")</f>
        <v/>
      </c>
      <c r="Y6" s="7" t="n">
        <f aca="false">IF(F6&gt;0,G6/F6,"")</f>
        <v>1</v>
      </c>
      <c r="Z6" s="7" t="n">
        <f aca="false">IF(G6&gt;0,H6/G6,"")</f>
        <v>0</v>
      </c>
      <c r="AA6" s="6" t="n">
        <f aca="false">IF(C6&gt;0,I6/C6,"")</f>
        <v>0.0461538461538462</v>
      </c>
      <c r="AB6" s="7" t="n">
        <f aca="false">IF(C6&gt;0,N6/C6,"")</f>
        <v>0</v>
      </c>
      <c r="AC6" s="7" t="str">
        <f aca="false">IF(N6&gt;0,R6/N6,"")</f>
        <v/>
      </c>
    </row>
    <row r="7" customFormat="false" ht="15" hidden="false" customHeight="false" outlineLevel="0" collapsed="false">
      <c r="A7" s="2" t="s">
        <v>59</v>
      </c>
      <c r="B7" s="4" t="n">
        <v>3.05</v>
      </c>
      <c r="C7" s="5" t="n">
        <v>121</v>
      </c>
      <c r="D7" s="5" t="n">
        <v>84</v>
      </c>
      <c r="E7" s="5" t="n">
        <v>29</v>
      </c>
      <c r="F7" s="5" t="n">
        <v>34</v>
      </c>
      <c r="G7" s="5" t="n">
        <v>24</v>
      </c>
      <c r="H7" s="5" t="n">
        <v>0</v>
      </c>
      <c r="I7" s="5" t="n">
        <v>111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77</v>
      </c>
      <c r="O7" s="5" t="n">
        <v>55</v>
      </c>
      <c r="P7" s="5" t="n">
        <v>43</v>
      </c>
      <c r="Q7" s="5" t="n">
        <v>31</v>
      </c>
      <c r="R7" s="5" t="n">
        <v>19</v>
      </c>
      <c r="S7" s="5" t="n">
        <v>40</v>
      </c>
      <c r="T7" s="8" t="n">
        <f aca="false">IF(D7&gt;0,C7/D7,"")</f>
        <v>1.44047619047619</v>
      </c>
      <c r="U7" s="6" t="n">
        <f aca="false">IF(C7&gt;0,F7/C7,"")</f>
        <v>0.28099173553719</v>
      </c>
      <c r="V7" s="4" t="n">
        <f aca="false">IF(C7&gt;0,B7/C7*1000,"")</f>
        <v>25.2066115702479</v>
      </c>
      <c r="W7" s="4" t="n">
        <f aca="false">IF(F7&gt;0,B7/F7,"")</f>
        <v>0.0897058823529412</v>
      </c>
      <c r="X7" s="4" t="str">
        <f aca="false">IF(H7&gt;0,B7/H7,"")</f>
        <v/>
      </c>
      <c r="Y7" s="7" t="n">
        <f aca="false">IF(F7&gt;0,G7/F7,"")</f>
        <v>0.705882352941177</v>
      </c>
      <c r="Z7" s="7" t="n">
        <f aca="false">IF(G7&gt;0,H7/G7,"")</f>
        <v>0</v>
      </c>
      <c r="AA7" s="6" t="n">
        <f aca="false">IF(C7&gt;0,I7/C7,"")</f>
        <v>0.917355371900827</v>
      </c>
      <c r="AB7" s="7" t="n">
        <f aca="false">IF(C7&gt;0,N7/C7,"")</f>
        <v>0.636363636363636</v>
      </c>
      <c r="AC7" s="7" t="n">
        <f aca="false">IF(N7&gt;0,R7/N7,"")</f>
        <v>0.246753246753247</v>
      </c>
    </row>
    <row r="8" customFormat="false" ht="15" hidden="false" customHeight="false" outlineLevel="0" collapsed="false">
      <c r="A8" s="2" t="s">
        <v>60</v>
      </c>
      <c r="B8" s="4" t="n">
        <v>2.62</v>
      </c>
      <c r="C8" s="5" t="n">
        <v>33</v>
      </c>
      <c r="D8" s="5" t="n">
        <v>29</v>
      </c>
      <c r="E8" s="5" t="n">
        <v>2</v>
      </c>
      <c r="F8" s="5" t="n">
        <v>1</v>
      </c>
      <c r="G8" s="5" t="n">
        <v>1</v>
      </c>
      <c r="H8" s="5" t="n">
        <v>0</v>
      </c>
      <c r="I8" s="5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8" t="n">
        <f aca="false">IF(D8&gt;0,C8/D8,"")</f>
        <v>1.13793103448276</v>
      </c>
      <c r="U8" s="6" t="n">
        <f aca="false">IF(C8&gt;0,F8/C8,"")</f>
        <v>0.0303030303030303</v>
      </c>
      <c r="V8" s="4" t="n">
        <f aca="false">IF(C8&gt;0,B8/C8*1000,"")</f>
        <v>79.3939393939394</v>
      </c>
      <c r="W8" s="4" t="n">
        <f aca="false">IF(F8&gt;0,B8/F8,"")</f>
        <v>2.62</v>
      </c>
      <c r="X8" s="4" t="str">
        <f aca="false">IF(H8&gt;0,B8/H8,"")</f>
        <v/>
      </c>
      <c r="Y8" s="7" t="n">
        <f aca="false">IF(F8&gt;0,G8/F8,"")</f>
        <v>1</v>
      </c>
      <c r="Z8" s="7" t="n">
        <f aca="false">IF(G8&gt;0,H8/G8,"")</f>
        <v>0</v>
      </c>
      <c r="AA8" s="6" t="n">
        <f aca="false">IF(C8&gt;0,I8/C8,"")</f>
        <v>0.0303030303030303</v>
      </c>
      <c r="AB8" s="7" t="n">
        <f aca="false">IF(C8&gt;0,N8/C8,"")</f>
        <v>0</v>
      </c>
      <c r="AC8" s="7" t="str">
        <f aca="false">IF(N8&gt;0,R8/N8,"")</f>
        <v/>
      </c>
    </row>
    <row r="9" customFormat="false" ht="15" hidden="false" customHeight="false" outlineLevel="0" collapsed="false">
      <c r="A9" s="2" t="s">
        <v>61</v>
      </c>
      <c r="B9" s="4" t="n">
        <v>2.42</v>
      </c>
      <c r="C9" s="5" t="n">
        <v>44</v>
      </c>
      <c r="D9" s="5" t="n">
        <v>31</v>
      </c>
      <c r="E9" s="5" t="n">
        <v>9</v>
      </c>
      <c r="F9" s="5" t="n">
        <v>12</v>
      </c>
      <c r="G9" s="5" t="n">
        <v>8</v>
      </c>
      <c r="H9" s="5" t="n">
        <v>0</v>
      </c>
      <c r="I9" s="5" t="n">
        <v>28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15</v>
      </c>
      <c r="O9" s="5" t="n">
        <v>6</v>
      </c>
      <c r="P9" s="5" t="n">
        <v>0</v>
      </c>
      <c r="Q9" s="5" t="n">
        <v>0</v>
      </c>
      <c r="R9" s="5" t="n">
        <v>0</v>
      </c>
      <c r="S9" s="5" t="n">
        <v>6</v>
      </c>
      <c r="T9" s="8" t="n">
        <f aca="false">IF(D9&gt;0,C9/D9,"")</f>
        <v>1.41935483870968</v>
      </c>
      <c r="U9" s="6" t="n">
        <f aca="false">IF(C9&gt;0,F9/C9,"")</f>
        <v>0.272727272727273</v>
      </c>
      <c r="V9" s="4" t="n">
        <f aca="false">IF(C9&gt;0,B9/C9*1000,"")</f>
        <v>55</v>
      </c>
      <c r="W9" s="4" t="n">
        <f aca="false">IF(F9&gt;0,B9/F9,"")</f>
        <v>0.201666666666667</v>
      </c>
      <c r="X9" s="4" t="str">
        <f aca="false">IF(H9&gt;0,B9/H9,"")</f>
        <v/>
      </c>
      <c r="Y9" s="7" t="n">
        <f aca="false">IF(F9&gt;0,G9/F9,"")</f>
        <v>0.666666666666667</v>
      </c>
      <c r="Z9" s="7" t="n">
        <f aca="false">IF(G9&gt;0,H9/G9,"")</f>
        <v>0</v>
      </c>
      <c r="AA9" s="6" t="n">
        <f aca="false">IF(C9&gt;0,I9/C9,"")</f>
        <v>0.636363636363636</v>
      </c>
      <c r="AB9" s="7" t="n">
        <f aca="false">IF(C9&gt;0,N9/C9,"")</f>
        <v>0.340909090909091</v>
      </c>
      <c r="AC9" s="7" t="n">
        <f aca="false">IF(N9&gt;0,R9/N9,"")</f>
        <v>0</v>
      </c>
    </row>
    <row r="10" customFormat="false" ht="15" hidden="false" customHeight="false" outlineLevel="0" collapsed="false">
      <c r="A10" s="2" t="s">
        <v>62</v>
      </c>
      <c r="B10" s="4" t="n">
        <v>0.52</v>
      </c>
      <c r="C10" s="5" t="n">
        <v>24</v>
      </c>
      <c r="D10" s="5" t="n">
        <v>18</v>
      </c>
      <c r="E10" s="5" t="n">
        <v>1</v>
      </c>
      <c r="F10" s="5" t="n">
        <v>1</v>
      </c>
      <c r="G10" s="5" t="n">
        <v>1</v>
      </c>
      <c r="H10" s="5" t="n">
        <v>0</v>
      </c>
      <c r="I10" s="5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8" t="n">
        <f aca="false">IF(D10&gt;0,C10/D10,"")</f>
        <v>1.33333333333333</v>
      </c>
      <c r="U10" s="6" t="n">
        <f aca="false">IF(C10&gt;0,F10/C10,"")</f>
        <v>0.0416666666666667</v>
      </c>
      <c r="V10" s="4" t="n">
        <f aca="false">IF(C10&gt;0,B10/C10*1000,"")</f>
        <v>21.6666666666667</v>
      </c>
      <c r="W10" s="4" t="n">
        <f aca="false">IF(F10&gt;0,B10/F10,"")</f>
        <v>0.52</v>
      </c>
      <c r="X10" s="4" t="str">
        <f aca="false">IF(H10&gt;0,B10/H10,"")</f>
        <v/>
      </c>
      <c r="Y10" s="7" t="n">
        <f aca="false">IF(F10&gt;0,G10/F10,"")</f>
        <v>1</v>
      </c>
      <c r="Z10" s="7" t="n">
        <f aca="false">IF(G10&gt;0,H10/G10,"")</f>
        <v>0</v>
      </c>
      <c r="AA10" s="6" t="n">
        <f aca="false">IF(C10&gt;0,I10/C10,"")</f>
        <v>0.0416666666666667</v>
      </c>
      <c r="AB10" s="7" t="n">
        <f aca="false">IF(C10&gt;0,N10/C10,"")</f>
        <v>0</v>
      </c>
      <c r="AC10" s="7" t="str">
        <f aca="false">IF(N10&gt;0,R10/N10,"")</f>
        <v/>
      </c>
    </row>
    <row r="11" customFormat="false" ht="15" hidden="false" customHeight="false" outlineLevel="0" collapsed="false">
      <c r="A11" s="2" t="s">
        <v>63</v>
      </c>
      <c r="B11" s="4" t="n">
        <v>0.05</v>
      </c>
      <c r="C11" s="5" t="n">
        <v>3</v>
      </c>
      <c r="D11" s="5" t="n">
        <v>3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8" t="n">
        <f aca="false">IF(D11&gt;0,C11/D11,"")</f>
        <v>1</v>
      </c>
      <c r="U11" s="6" t="n">
        <f aca="false">IF(C11&gt;0,F11/C11,"")</f>
        <v>0</v>
      </c>
      <c r="V11" s="4" t="n">
        <f aca="false">IF(C11&gt;0,B11/C11*1000,"")</f>
        <v>16.6666666666667</v>
      </c>
      <c r="W11" s="4" t="str">
        <f aca="false">IF(F11&gt;0,B11/F11,"")</f>
        <v/>
      </c>
      <c r="X11" s="4" t="str">
        <f aca="false">IF(H11&gt;0,B11/H11,"")</f>
        <v/>
      </c>
      <c r="Y11" s="7" t="str">
        <f aca="false">IF(F11&gt;0,G11/F11,"")</f>
        <v/>
      </c>
      <c r="Z11" s="7" t="str">
        <f aca="false">IF(G11&gt;0,H11/G11,"")</f>
        <v/>
      </c>
      <c r="AA11" s="6" t="n">
        <f aca="false">IF(C11&gt;0,I11/C11,"")</f>
        <v>0</v>
      </c>
      <c r="AB11" s="7" t="n">
        <f aca="false">IF(C11&gt;0,N11/C11,"")</f>
        <v>0</v>
      </c>
      <c r="AC11" s="7" t="str">
        <f aca="false">IF(N11&gt;0,R11/N11,"")</f>
        <v/>
      </c>
    </row>
    <row r="12" customFormat="false" ht="15" hidden="false" customHeight="false" outlineLevel="0" collapsed="false">
      <c r="A12" s="11" t="s">
        <v>52</v>
      </c>
      <c r="B12" s="12" t="n">
        <f aca="false">SUM(B2:B11)</f>
        <v>488.01</v>
      </c>
      <c r="C12" s="13" t="n">
        <f aca="false">SUM(C2:C11)</f>
        <v>5230</v>
      </c>
      <c r="D12" s="13"/>
      <c r="E12" s="13" t="n">
        <f aca="false">SUM(E2:E11)</f>
        <v>293</v>
      </c>
      <c r="F12" s="13" t="n">
        <f aca="false">SUM(F2:F11)</f>
        <v>236</v>
      </c>
      <c r="G12" s="13" t="n">
        <f aca="false">SUM(G2:G11)</f>
        <v>183</v>
      </c>
      <c r="H12" s="13" t="n">
        <f aca="false">SUM(H2:H11)</f>
        <v>4</v>
      </c>
      <c r="I12" s="13" t="n">
        <f aca="false">SUM(I2:I11)</f>
        <v>1663</v>
      </c>
      <c r="J12" s="13" t="n">
        <f aca="false">SUM(J2:J11)</f>
        <v>27</v>
      </c>
      <c r="K12" s="13" t="n">
        <f aca="false">SUM(K2:K11)</f>
        <v>0</v>
      </c>
      <c r="L12" s="13" t="n">
        <f aca="false">SUM(L2:L11)</f>
        <v>6</v>
      </c>
      <c r="M12" s="13" t="n">
        <f aca="false">SUM(M2:M11)</f>
        <v>6</v>
      </c>
      <c r="N12" s="13" t="n">
        <f aca="false">SUM(N2:N11)</f>
        <v>1388</v>
      </c>
      <c r="O12" s="13" t="n">
        <f aca="false">SUM(O2:O11)</f>
        <v>1069</v>
      </c>
      <c r="P12" s="13" t="n">
        <f aca="false">SUM(P2:P11)</f>
        <v>430</v>
      </c>
      <c r="Q12" s="13" t="n">
        <f aca="false">SUM(Q2:Q11)</f>
        <v>223</v>
      </c>
      <c r="R12" s="13" t="n">
        <f aca="false">SUM(R2:R11)</f>
        <v>123</v>
      </c>
      <c r="S12" s="13" t="n">
        <f aca="false">SUM(S2:S11)</f>
        <v>161</v>
      </c>
      <c r="T12" s="14" t="str">
        <f aca="false">IF(D12&gt;0,C12/D12,"")</f>
        <v/>
      </c>
      <c r="U12" s="15" t="n">
        <f aca="false">IF(C12&gt;0,F12/C12,"")</f>
        <v>0.0451242829827916</v>
      </c>
      <c r="V12" s="12" t="n">
        <f aca="false">IF(C12&gt;0,B12/C12*1000,"")</f>
        <v>93.3097514340344</v>
      </c>
      <c r="W12" s="12" t="n">
        <f aca="false">IF(F12&gt;0,B12/F12,"")</f>
        <v>2.06783898305085</v>
      </c>
      <c r="X12" s="12" t="n">
        <f aca="false">IF(H12&gt;0,B12/H12,"")</f>
        <v>122.0025</v>
      </c>
      <c r="Y12" s="16" t="n">
        <f aca="false">IF(F12&gt;0,G12/F12,"")</f>
        <v>0.775423728813559</v>
      </c>
      <c r="Z12" s="16" t="n">
        <f aca="false">IF(G12&gt;0,H12/G12,"")</f>
        <v>0.0218579234972678</v>
      </c>
      <c r="AA12" s="15" t="n">
        <f aca="false">IF(C12&gt;0,I12/C12,"")</f>
        <v>0.317973231357553</v>
      </c>
      <c r="AB12" s="16" t="n">
        <f aca="false">IF(C12&gt;0,N12/C12,"")</f>
        <v>0.265391969407266</v>
      </c>
      <c r="AC12" s="16" t="n">
        <f aca="false">IF(N12&gt;0,R12/N12,"")</f>
        <v>0.0886167146974063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64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65</v>
      </c>
      <c r="B2" s="4" t="n">
        <v>149.5</v>
      </c>
      <c r="C2" s="5" t="n">
        <v>1671</v>
      </c>
      <c r="D2" s="5" t="n">
        <v>1081</v>
      </c>
      <c r="E2" s="5" t="n">
        <v>79</v>
      </c>
      <c r="F2" s="5" t="n">
        <v>62</v>
      </c>
      <c r="G2" s="5" t="n">
        <v>48</v>
      </c>
      <c r="H2" s="5" t="n">
        <v>2</v>
      </c>
      <c r="I2" s="5" t="n">
        <v>573</v>
      </c>
      <c r="J2" s="5" t="n">
        <v>13</v>
      </c>
      <c r="K2" s="5" t="n">
        <v>0</v>
      </c>
      <c r="L2" s="5" t="n">
        <v>1</v>
      </c>
      <c r="M2" s="5" t="n">
        <v>2</v>
      </c>
      <c r="N2" s="5" t="n">
        <v>495</v>
      </c>
      <c r="O2" s="5" t="n">
        <v>383</v>
      </c>
      <c r="P2" s="5" t="n">
        <v>151</v>
      </c>
      <c r="Q2" s="5" t="n">
        <v>72</v>
      </c>
      <c r="R2" s="5" t="n">
        <v>34</v>
      </c>
      <c r="S2" s="5" t="n">
        <v>41</v>
      </c>
      <c r="T2" s="8" t="n">
        <f aca="false">IF(D2&gt;0,C2/D2,"")</f>
        <v>1.54579093432007</v>
      </c>
      <c r="U2" s="6" t="n">
        <f aca="false">IF(C2&gt;0,F2/C2,"")</f>
        <v>0.0371035308198683</v>
      </c>
      <c r="V2" s="4" t="n">
        <f aca="false">IF(C2&gt;0,B2/C2*1000,"")</f>
        <v>89.4673847995212</v>
      </c>
      <c r="W2" s="4" t="n">
        <f aca="false">IF(F2&gt;0,B2/F2,"")</f>
        <v>2.41129032258065</v>
      </c>
      <c r="X2" s="4" t="n">
        <f aca="false">IF(H2&gt;0,B2/H2,"")</f>
        <v>74.75</v>
      </c>
      <c r="Y2" s="7" t="n">
        <f aca="false">IF(F2&gt;0,G2/F2,"")</f>
        <v>0.774193548387097</v>
      </c>
      <c r="Z2" s="7" t="n">
        <f aca="false">IF(G2&gt;0,H2/G2,"")</f>
        <v>0.0416666666666667</v>
      </c>
      <c r="AA2" s="6" t="n">
        <f aca="false">IF(C2&gt;0,I2/C2,"")</f>
        <v>0.342908438061041</v>
      </c>
      <c r="AB2" s="7" t="n">
        <f aca="false">IF(C2&gt;0,N2/C2,"")</f>
        <v>0.296229802513465</v>
      </c>
      <c r="AC2" s="7" t="n">
        <f aca="false">IF(N2&gt;0,R2/N2,"")</f>
        <v>0.0686868686868687</v>
      </c>
    </row>
    <row r="3" customFormat="false" ht="15" hidden="false" customHeight="false" outlineLevel="0" collapsed="false">
      <c r="A3" s="2" t="s">
        <v>66</v>
      </c>
      <c r="B3" s="4" t="n">
        <v>121.41</v>
      </c>
      <c r="C3" s="5" t="n">
        <v>1026</v>
      </c>
      <c r="D3" s="5" t="n">
        <v>638</v>
      </c>
      <c r="E3" s="5" t="n">
        <v>58</v>
      </c>
      <c r="F3" s="5" t="n">
        <v>50</v>
      </c>
      <c r="G3" s="5" t="n">
        <v>34</v>
      </c>
      <c r="H3" s="5" t="n">
        <v>1</v>
      </c>
      <c r="I3" s="5" t="n">
        <v>367</v>
      </c>
      <c r="J3" s="5" t="n">
        <v>3</v>
      </c>
      <c r="K3" s="5" t="n">
        <v>0</v>
      </c>
      <c r="L3" s="5" t="n">
        <v>0</v>
      </c>
      <c r="M3" s="5" t="n">
        <v>2</v>
      </c>
      <c r="N3" s="5" t="n">
        <v>312</v>
      </c>
      <c r="O3" s="5" t="n">
        <v>235</v>
      </c>
      <c r="P3" s="5" t="n">
        <v>97</v>
      </c>
      <c r="Q3" s="5" t="n">
        <v>51</v>
      </c>
      <c r="R3" s="5" t="n">
        <v>27</v>
      </c>
      <c r="S3" s="5" t="n">
        <v>34</v>
      </c>
      <c r="T3" s="8" t="n">
        <f aca="false">IF(D3&gt;0,C3/D3,"")</f>
        <v>1.60815047021944</v>
      </c>
      <c r="U3" s="6" t="n">
        <f aca="false">IF(C3&gt;0,F3/C3,"")</f>
        <v>0.0487329434697856</v>
      </c>
      <c r="V3" s="4" t="n">
        <f aca="false">IF(C3&gt;0,B3/C3*1000,"")</f>
        <v>118.333333333333</v>
      </c>
      <c r="W3" s="4" t="n">
        <f aca="false">IF(F3&gt;0,B3/F3,"")</f>
        <v>2.4282</v>
      </c>
      <c r="X3" s="4" t="n">
        <f aca="false">IF(H3&gt;0,B3/H3,"")</f>
        <v>121.41</v>
      </c>
      <c r="Y3" s="7" t="n">
        <f aca="false">IF(F3&gt;0,G3/F3,"")</f>
        <v>0.68</v>
      </c>
      <c r="Z3" s="7" t="n">
        <f aca="false">IF(G3&gt;0,H3/G3,"")</f>
        <v>0.0294117647058824</v>
      </c>
      <c r="AA3" s="6" t="n">
        <f aca="false">IF(C3&gt;0,I3/C3,"")</f>
        <v>0.357699805068226</v>
      </c>
      <c r="AB3" s="7" t="n">
        <f aca="false">IF(C3&gt;0,N3/C3,"")</f>
        <v>0.304093567251462</v>
      </c>
      <c r="AC3" s="7" t="n">
        <f aca="false">IF(N3&gt;0,R3/N3,"")</f>
        <v>0.0865384615384615</v>
      </c>
    </row>
    <row r="4" customFormat="false" ht="15" hidden="false" customHeight="false" outlineLevel="0" collapsed="false">
      <c r="A4" s="2" t="s">
        <v>67</v>
      </c>
      <c r="B4" s="4" t="n">
        <v>96.32</v>
      </c>
      <c r="C4" s="5" t="n">
        <v>1390</v>
      </c>
      <c r="D4" s="5" t="n">
        <v>828</v>
      </c>
      <c r="E4" s="5" t="n">
        <v>82</v>
      </c>
      <c r="F4" s="5" t="n">
        <v>63</v>
      </c>
      <c r="G4" s="5" t="n">
        <v>52</v>
      </c>
      <c r="H4" s="5" t="n">
        <v>0</v>
      </c>
      <c r="I4" s="5" t="n">
        <v>422</v>
      </c>
      <c r="J4" s="5" t="n">
        <v>7</v>
      </c>
      <c r="K4" s="5" t="n">
        <v>0</v>
      </c>
      <c r="L4" s="5" t="n">
        <v>4</v>
      </c>
      <c r="M4" s="5" t="n">
        <v>1</v>
      </c>
      <c r="N4" s="5" t="n">
        <v>347</v>
      </c>
      <c r="O4" s="5" t="n">
        <v>274</v>
      </c>
      <c r="P4" s="5" t="n">
        <v>92</v>
      </c>
      <c r="Q4" s="5" t="n">
        <v>41</v>
      </c>
      <c r="R4" s="5" t="n">
        <v>19</v>
      </c>
      <c r="S4" s="5" t="n">
        <v>25</v>
      </c>
      <c r="T4" s="8" t="n">
        <f aca="false">IF(D4&gt;0,C4/D4,"")</f>
        <v>1.67874396135266</v>
      </c>
      <c r="U4" s="6" t="n">
        <f aca="false">IF(C4&gt;0,F4/C4,"")</f>
        <v>0.0453237410071942</v>
      </c>
      <c r="V4" s="4" t="n">
        <f aca="false">IF(C4&gt;0,B4/C4*1000,"")</f>
        <v>69.294964028777</v>
      </c>
      <c r="W4" s="4" t="n">
        <f aca="false">IF(F4&gt;0,B4/F4,"")</f>
        <v>1.52888888888889</v>
      </c>
      <c r="X4" s="4" t="str">
        <f aca="false">IF(H4&gt;0,B4/H4,"")</f>
        <v/>
      </c>
      <c r="Y4" s="7" t="n">
        <f aca="false">IF(F4&gt;0,G4/F4,"")</f>
        <v>0.825396825396825</v>
      </c>
      <c r="Z4" s="7" t="n">
        <f aca="false">IF(G4&gt;0,H4/G4,"")</f>
        <v>0</v>
      </c>
      <c r="AA4" s="6" t="n">
        <f aca="false">IF(C4&gt;0,I4/C4,"")</f>
        <v>0.303597122302158</v>
      </c>
      <c r="AB4" s="7" t="n">
        <f aca="false">IF(C4&gt;0,N4/C4,"")</f>
        <v>0.249640287769784</v>
      </c>
      <c r="AC4" s="7" t="n">
        <f aca="false">IF(N4&gt;0,R4/N4,"")</f>
        <v>0.0547550432276657</v>
      </c>
    </row>
    <row r="5" customFormat="false" ht="15" hidden="false" customHeight="false" outlineLevel="0" collapsed="false">
      <c r="A5" s="2" t="s">
        <v>68</v>
      </c>
      <c r="B5" s="4" t="n">
        <v>60.58</v>
      </c>
      <c r="C5" s="5" t="n">
        <v>426</v>
      </c>
      <c r="D5" s="5" t="n">
        <v>293</v>
      </c>
      <c r="E5" s="5" t="n">
        <v>31</v>
      </c>
      <c r="F5" s="5" t="n">
        <v>27</v>
      </c>
      <c r="G5" s="5" t="n">
        <v>19</v>
      </c>
      <c r="H5" s="5" t="n">
        <v>0</v>
      </c>
      <c r="I5" s="5" t="n">
        <v>156</v>
      </c>
      <c r="J5" s="5" t="n">
        <v>2</v>
      </c>
      <c r="K5" s="5" t="n">
        <v>0</v>
      </c>
      <c r="L5" s="5" t="n">
        <v>1</v>
      </c>
      <c r="M5" s="5" t="n">
        <v>0</v>
      </c>
      <c r="N5" s="5" t="n">
        <v>126</v>
      </c>
      <c r="O5" s="5" t="n">
        <v>94</v>
      </c>
      <c r="P5" s="5" t="n">
        <v>44</v>
      </c>
      <c r="Q5" s="5" t="n">
        <v>30</v>
      </c>
      <c r="R5" s="5" t="n">
        <v>20</v>
      </c>
      <c r="S5" s="5" t="n">
        <v>27</v>
      </c>
      <c r="T5" s="8" t="n">
        <f aca="false">IF(D5&gt;0,C5/D5,"")</f>
        <v>1.45392491467577</v>
      </c>
      <c r="U5" s="6" t="n">
        <f aca="false">IF(C5&gt;0,F5/C5,"")</f>
        <v>0.0633802816901408</v>
      </c>
      <c r="V5" s="4" t="n">
        <f aca="false">IF(C5&gt;0,B5/C5*1000,"")</f>
        <v>142.206572769953</v>
      </c>
      <c r="W5" s="4" t="n">
        <f aca="false">IF(F5&gt;0,B5/F5,"")</f>
        <v>2.2437037037037</v>
      </c>
      <c r="X5" s="4" t="str">
        <f aca="false">IF(H5&gt;0,B5/H5,"")</f>
        <v/>
      </c>
      <c r="Y5" s="7" t="n">
        <f aca="false">IF(F5&gt;0,G5/F5,"")</f>
        <v>0.703703703703704</v>
      </c>
      <c r="Z5" s="7" t="n">
        <f aca="false">IF(G5&gt;0,H5/G5,"")</f>
        <v>0</v>
      </c>
      <c r="AA5" s="6" t="n">
        <f aca="false">IF(C5&gt;0,I5/C5,"")</f>
        <v>0.366197183098592</v>
      </c>
      <c r="AB5" s="7" t="n">
        <f aca="false">IF(C5&gt;0,N5/C5,"")</f>
        <v>0.295774647887324</v>
      </c>
      <c r="AC5" s="7" t="n">
        <f aca="false">IF(N5&gt;0,R5/N5,"")</f>
        <v>0.158730158730159</v>
      </c>
    </row>
    <row r="6" customFormat="false" ht="15" hidden="false" customHeight="false" outlineLevel="0" collapsed="false">
      <c r="A6" s="2" t="s">
        <v>69</v>
      </c>
      <c r="B6" s="4" t="n">
        <v>37.7</v>
      </c>
      <c r="C6" s="5" t="n">
        <v>496</v>
      </c>
      <c r="D6" s="5" t="n">
        <v>269</v>
      </c>
      <c r="E6" s="5" t="n">
        <v>15</v>
      </c>
      <c r="F6" s="5" t="n">
        <v>9</v>
      </c>
      <c r="G6" s="5" t="n">
        <v>10</v>
      </c>
      <c r="H6" s="5" t="n">
        <v>1</v>
      </c>
      <c r="I6" s="5" t="n">
        <v>41</v>
      </c>
      <c r="J6" s="5" t="n">
        <v>2</v>
      </c>
      <c r="K6" s="5" t="n">
        <v>0</v>
      </c>
      <c r="L6" s="5" t="n">
        <v>0</v>
      </c>
      <c r="M6" s="5" t="n">
        <v>1</v>
      </c>
      <c r="N6" s="5" t="n">
        <v>29</v>
      </c>
      <c r="O6" s="5" t="n">
        <v>26</v>
      </c>
      <c r="P6" s="5" t="n">
        <v>9</v>
      </c>
      <c r="Q6" s="5" t="n">
        <v>6</v>
      </c>
      <c r="R6" s="5" t="n">
        <v>4</v>
      </c>
      <c r="S6" s="5" t="n">
        <v>7</v>
      </c>
      <c r="T6" s="8" t="n">
        <f aca="false">IF(D6&gt;0,C6/D6,"")</f>
        <v>1.84386617100372</v>
      </c>
      <c r="U6" s="6" t="n">
        <f aca="false">IF(C6&gt;0,F6/C6,"")</f>
        <v>0.0181451612903226</v>
      </c>
      <c r="V6" s="4" t="n">
        <f aca="false">IF(C6&gt;0,B6/C6*1000,"")</f>
        <v>76.008064516129</v>
      </c>
      <c r="W6" s="4" t="n">
        <f aca="false">IF(F6&gt;0,B6/F6,"")</f>
        <v>4.18888888888889</v>
      </c>
      <c r="X6" s="4" t="n">
        <f aca="false">IF(H6&gt;0,B6/H6,"")</f>
        <v>37.7</v>
      </c>
      <c r="Y6" s="7" t="n">
        <f aca="false">IF(F6&gt;0,G6/F6,"")</f>
        <v>1.11111111111111</v>
      </c>
      <c r="Z6" s="7" t="n">
        <f aca="false">IF(G6&gt;0,H6/G6,"")</f>
        <v>0.1</v>
      </c>
      <c r="AA6" s="6" t="n">
        <f aca="false">IF(C6&gt;0,I6/C6,"")</f>
        <v>0.0826612903225806</v>
      </c>
      <c r="AB6" s="7" t="n">
        <f aca="false">IF(C6&gt;0,N6/C6,"")</f>
        <v>0.0584677419354839</v>
      </c>
      <c r="AC6" s="7" t="n">
        <f aca="false">IF(N6&gt;0,R6/N6,"")</f>
        <v>0.137931034482759</v>
      </c>
    </row>
    <row r="7" customFormat="false" ht="15" hidden="false" customHeight="false" outlineLevel="0" collapsed="false">
      <c r="A7" s="2" t="s">
        <v>70</v>
      </c>
      <c r="B7" s="4" t="n">
        <v>22.5</v>
      </c>
      <c r="C7" s="5" t="n">
        <v>221</v>
      </c>
      <c r="D7" s="5" t="n">
        <v>157</v>
      </c>
      <c r="E7" s="5" t="n">
        <v>28</v>
      </c>
      <c r="F7" s="5" t="n">
        <v>25</v>
      </c>
      <c r="G7" s="5" t="n">
        <v>20</v>
      </c>
      <c r="H7" s="5" t="n">
        <v>0</v>
      </c>
      <c r="I7" s="5" t="n">
        <v>104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79</v>
      </c>
      <c r="O7" s="5" t="n">
        <v>57</v>
      </c>
      <c r="P7" s="5" t="n">
        <v>37</v>
      </c>
      <c r="Q7" s="5" t="n">
        <v>23</v>
      </c>
      <c r="R7" s="5" t="n">
        <v>19</v>
      </c>
      <c r="S7" s="5" t="n">
        <v>27</v>
      </c>
      <c r="T7" s="8" t="n">
        <f aca="false">IF(D7&gt;0,C7/D7,"")</f>
        <v>1.40764331210191</v>
      </c>
      <c r="U7" s="6" t="n">
        <f aca="false">IF(C7&gt;0,F7/C7,"")</f>
        <v>0.113122171945701</v>
      </c>
      <c r="V7" s="4" t="n">
        <f aca="false">IF(C7&gt;0,B7/C7*1000,"")</f>
        <v>101.809954751131</v>
      </c>
      <c r="W7" s="4" t="n">
        <f aca="false">IF(F7&gt;0,B7/F7,"")</f>
        <v>0.9</v>
      </c>
      <c r="X7" s="4" t="str">
        <f aca="false">IF(H7&gt;0,B7/H7,"")</f>
        <v/>
      </c>
      <c r="Y7" s="7" t="n">
        <f aca="false">IF(F7&gt;0,G7/F7,"")</f>
        <v>0.8</v>
      </c>
      <c r="Z7" s="7" t="n">
        <f aca="false">IF(G7&gt;0,H7/G7,"")</f>
        <v>0</v>
      </c>
      <c r="AA7" s="6" t="n">
        <f aca="false">IF(C7&gt;0,I7/C7,"")</f>
        <v>0.470588235294118</v>
      </c>
      <c r="AB7" s="7" t="n">
        <f aca="false">IF(C7&gt;0,N7/C7,"")</f>
        <v>0.357466063348416</v>
      </c>
      <c r="AC7" s="7" t="n">
        <f aca="false">IF(N7&gt;0,R7/N7,"")</f>
        <v>0.240506329113924</v>
      </c>
    </row>
    <row r="8" customFormat="false" ht="15" hidden="false" customHeight="false" outlineLevel="0" collapsed="false">
      <c r="A8" s="11" t="s">
        <v>52</v>
      </c>
      <c r="B8" s="12" t="n">
        <f aca="false">SUM(B2:B7)</f>
        <v>488.01</v>
      </c>
      <c r="C8" s="13" t="n">
        <f aca="false">SUM(C2:C7)</f>
        <v>5230</v>
      </c>
      <c r="D8" s="13"/>
      <c r="E8" s="13" t="n">
        <f aca="false">SUM(E2:E7)</f>
        <v>293</v>
      </c>
      <c r="F8" s="13" t="n">
        <f aca="false">SUM(F2:F7)</f>
        <v>236</v>
      </c>
      <c r="G8" s="13" t="n">
        <f aca="false">SUM(G2:G7)</f>
        <v>183</v>
      </c>
      <c r="H8" s="13" t="n">
        <f aca="false">SUM(H2:H7)</f>
        <v>4</v>
      </c>
      <c r="I8" s="13" t="n">
        <f aca="false">SUM(I2:I7)</f>
        <v>1663</v>
      </c>
      <c r="J8" s="13" t="n">
        <f aca="false">SUM(J2:J7)</f>
        <v>27</v>
      </c>
      <c r="K8" s="13" t="n">
        <f aca="false">SUM(K2:K7)</f>
        <v>0</v>
      </c>
      <c r="L8" s="13" t="n">
        <f aca="false">SUM(L2:L7)</f>
        <v>6</v>
      </c>
      <c r="M8" s="13" t="n">
        <f aca="false">SUM(M2:M7)</f>
        <v>6</v>
      </c>
      <c r="N8" s="13" t="n">
        <f aca="false">SUM(N2:N7)</f>
        <v>1388</v>
      </c>
      <c r="O8" s="13" t="n">
        <f aca="false">SUM(O2:O7)</f>
        <v>1069</v>
      </c>
      <c r="P8" s="13" t="n">
        <f aca="false">SUM(P2:P7)</f>
        <v>430</v>
      </c>
      <c r="Q8" s="13" t="n">
        <f aca="false">SUM(Q2:Q7)</f>
        <v>223</v>
      </c>
      <c r="R8" s="13" t="n">
        <f aca="false">SUM(R2:R7)</f>
        <v>123</v>
      </c>
      <c r="S8" s="13" t="n">
        <f aca="false">SUM(S2:S7)</f>
        <v>161</v>
      </c>
      <c r="T8" s="14" t="str">
        <f aca="false">IF(D8&gt;0,C8/D8,"")</f>
        <v/>
      </c>
      <c r="U8" s="15" t="n">
        <f aca="false">IF(C8&gt;0,F8/C8,"")</f>
        <v>0.0451242829827916</v>
      </c>
      <c r="V8" s="12" t="n">
        <f aca="false">IF(C8&gt;0,B8/C8*1000,"")</f>
        <v>93.3097514340344</v>
      </c>
      <c r="W8" s="12" t="n">
        <f aca="false">IF(F8&gt;0,B8/F8,"")</f>
        <v>2.06783898305085</v>
      </c>
      <c r="X8" s="12" t="n">
        <f aca="false">IF(H8&gt;0,B8/H8,"")</f>
        <v>122.0025</v>
      </c>
      <c r="Y8" s="16" t="n">
        <f aca="false">IF(F8&gt;0,G8/F8,"")</f>
        <v>0.775423728813559</v>
      </c>
      <c r="Z8" s="16" t="n">
        <f aca="false">IF(G8&gt;0,H8/G8,"")</f>
        <v>0.0218579234972678</v>
      </c>
      <c r="AA8" s="15" t="n">
        <f aca="false">IF(C8&gt;0,I8/C8,"")</f>
        <v>0.317973231357553</v>
      </c>
      <c r="AB8" s="16" t="n">
        <f aca="false">IF(C8&gt;0,N8/C8,"")</f>
        <v>0.265391969407266</v>
      </c>
      <c r="AC8" s="16" t="n">
        <f aca="false">IF(N8&gt;0,R8/N8,"")</f>
        <v>0.0886167146974063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71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72</v>
      </c>
      <c r="B2" s="4" t="n">
        <v>288.81</v>
      </c>
      <c r="C2" s="5" t="n">
        <v>3182</v>
      </c>
      <c r="D2" s="5" t="n">
        <v>1987</v>
      </c>
      <c r="E2" s="5" t="n">
        <v>178</v>
      </c>
      <c r="F2" s="5" t="n">
        <v>150</v>
      </c>
      <c r="G2" s="5" t="n">
        <v>112</v>
      </c>
      <c r="H2" s="5" t="n">
        <v>4</v>
      </c>
      <c r="I2" s="5" t="n">
        <v>920</v>
      </c>
      <c r="J2" s="5" t="n">
        <v>17</v>
      </c>
      <c r="K2" s="5" t="n">
        <v>0</v>
      </c>
      <c r="L2" s="5" t="n">
        <v>3</v>
      </c>
      <c r="M2" s="5" t="n">
        <v>5</v>
      </c>
      <c r="N2" s="5" t="n">
        <v>745</v>
      </c>
      <c r="O2" s="5" t="n">
        <v>570</v>
      </c>
      <c r="P2" s="5" t="n">
        <v>235</v>
      </c>
      <c r="Q2" s="5" t="n">
        <v>131</v>
      </c>
      <c r="R2" s="5" t="n">
        <v>67</v>
      </c>
      <c r="S2" s="5" t="n">
        <v>93</v>
      </c>
      <c r="T2" s="8" t="n">
        <f aca="false">IF(D2&gt;0,C2/D2,"")</f>
        <v>1.60140915953699</v>
      </c>
      <c r="U2" s="6" t="n">
        <f aca="false">IF(C2&gt;0,F2/C2,"")</f>
        <v>0.0471401634192332</v>
      </c>
      <c r="V2" s="4" t="n">
        <f aca="false">IF(C2&gt;0,B2/C2*1000,"")</f>
        <v>90.7636706473916</v>
      </c>
      <c r="W2" s="4" t="n">
        <f aca="false">IF(F2&gt;0,B2/F2,"")</f>
        <v>1.9254</v>
      </c>
      <c r="X2" s="4" t="n">
        <f aca="false">IF(H2&gt;0,B2/H2,"")</f>
        <v>72.2025</v>
      </c>
      <c r="Y2" s="7" t="n">
        <f aca="false">IF(F2&gt;0,G2/F2,"")</f>
        <v>0.746666666666667</v>
      </c>
      <c r="Z2" s="7" t="n">
        <f aca="false">IF(G2&gt;0,H2/G2,"")</f>
        <v>0.0357142857142857</v>
      </c>
      <c r="AA2" s="6" t="n">
        <f aca="false">IF(C2&gt;0,I2/C2,"")</f>
        <v>0.289126335637964</v>
      </c>
      <c r="AB2" s="7" t="n">
        <f aca="false">IF(C2&gt;0,N2/C2,"")</f>
        <v>0.234129478315525</v>
      </c>
      <c r="AC2" s="7" t="n">
        <f aca="false">IF(N2&gt;0,R2/N2,"")</f>
        <v>0.0899328859060403</v>
      </c>
    </row>
    <row r="3" customFormat="false" ht="15" hidden="false" customHeight="false" outlineLevel="0" collapsed="false">
      <c r="A3" s="2" t="s">
        <v>73</v>
      </c>
      <c r="B3" s="4" t="n">
        <v>191.57</v>
      </c>
      <c r="C3" s="5" t="n">
        <v>1992</v>
      </c>
      <c r="D3" s="5" t="n">
        <v>1216</v>
      </c>
      <c r="E3" s="5" t="n">
        <v>112</v>
      </c>
      <c r="F3" s="5" t="n">
        <v>86</v>
      </c>
      <c r="G3" s="5" t="n">
        <v>71</v>
      </c>
      <c r="H3" s="5" t="n">
        <v>0</v>
      </c>
      <c r="I3" s="5" t="n">
        <v>731</v>
      </c>
      <c r="J3" s="5" t="n">
        <v>10</v>
      </c>
      <c r="K3" s="5" t="n">
        <v>0</v>
      </c>
      <c r="L3" s="5" t="n">
        <v>3</v>
      </c>
      <c r="M3" s="5" t="n">
        <v>1</v>
      </c>
      <c r="N3" s="5" t="n">
        <v>631</v>
      </c>
      <c r="O3" s="5" t="n">
        <v>491</v>
      </c>
      <c r="P3" s="5" t="n">
        <v>192</v>
      </c>
      <c r="Q3" s="5" t="n">
        <v>91</v>
      </c>
      <c r="R3" s="5" t="n">
        <v>55</v>
      </c>
      <c r="S3" s="5" t="n">
        <v>67</v>
      </c>
      <c r="T3" s="8" t="n">
        <f aca="false">IF(D3&gt;0,C3/D3,"")</f>
        <v>1.63815789473684</v>
      </c>
      <c r="U3" s="6" t="n">
        <f aca="false">IF(C3&gt;0,F3/C3,"")</f>
        <v>0.0431726907630522</v>
      </c>
      <c r="V3" s="4" t="n">
        <f aca="false">IF(C3&gt;0,B3/C3*1000,"")</f>
        <v>96.1696787148594</v>
      </c>
      <c r="W3" s="4" t="n">
        <f aca="false">IF(F3&gt;0,B3/F3,"")</f>
        <v>2.22755813953488</v>
      </c>
      <c r="X3" s="4" t="str">
        <f aca="false">IF(H3&gt;0,B3/H3,"")</f>
        <v/>
      </c>
      <c r="Y3" s="7" t="n">
        <f aca="false">IF(F3&gt;0,G3/F3,"")</f>
        <v>0.825581395348837</v>
      </c>
      <c r="Z3" s="7" t="n">
        <f aca="false">IF(G3&gt;0,H3/G3,"")</f>
        <v>0</v>
      </c>
      <c r="AA3" s="6" t="n">
        <f aca="false">IF(C3&gt;0,I3/C3,"")</f>
        <v>0.366967871485944</v>
      </c>
      <c r="AB3" s="7" t="n">
        <f aca="false">IF(C3&gt;0,N3/C3,"")</f>
        <v>0.316767068273092</v>
      </c>
      <c r="AC3" s="7" t="n">
        <f aca="false">IF(N3&gt;0,R3/N3,"")</f>
        <v>0.0871632329635499</v>
      </c>
    </row>
    <row r="4" customFormat="false" ht="15" hidden="false" customHeight="false" outlineLevel="0" collapsed="false">
      <c r="A4" s="2" t="s">
        <v>74</v>
      </c>
      <c r="B4" s="4" t="n">
        <v>7.63</v>
      </c>
      <c r="C4" s="5" t="n">
        <v>56</v>
      </c>
      <c r="D4" s="5" t="n">
        <v>31</v>
      </c>
      <c r="E4" s="5" t="n">
        <v>3</v>
      </c>
      <c r="F4" s="5" t="n">
        <v>0</v>
      </c>
      <c r="G4" s="5" t="n">
        <v>0</v>
      </c>
      <c r="H4" s="5" t="n">
        <v>0</v>
      </c>
      <c r="I4" s="5" t="n">
        <v>12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12</v>
      </c>
      <c r="O4" s="5" t="n">
        <v>8</v>
      </c>
      <c r="P4" s="5" t="n">
        <v>3</v>
      </c>
      <c r="Q4" s="5" t="n">
        <v>1</v>
      </c>
      <c r="R4" s="5" t="n">
        <v>1</v>
      </c>
      <c r="S4" s="5" t="n">
        <v>1</v>
      </c>
      <c r="T4" s="8" t="n">
        <f aca="false">IF(D4&gt;0,C4/D4,"")</f>
        <v>1.80645161290323</v>
      </c>
      <c r="U4" s="6" t="n">
        <f aca="false">IF(C4&gt;0,F4/C4,"")</f>
        <v>0</v>
      </c>
      <c r="V4" s="4" t="n">
        <f aca="false">IF(C4&gt;0,B4/C4*1000,"")</f>
        <v>136.25</v>
      </c>
      <c r="W4" s="4" t="str">
        <f aca="false">IF(F4&gt;0,B4/F4,"")</f>
        <v/>
      </c>
      <c r="X4" s="4" t="str">
        <f aca="false">IF(H4&gt;0,B4/H4,"")</f>
        <v/>
      </c>
      <c r="Y4" s="7" t="str">
        <f aca="false">IF(F4&gt;0,G4/F4,"")</f>
        <v/>
      </c>
      <c r="Z4" s="7" t="str">
        <f aca="false">IF(G4&gt;0,H4/G4,"")</f>
        <v/>
      </c>
      <c r="AA4" s="6" t="n">
        <f aca="false">IF(C4&gt;0,I4/C4,"")</f>
        <v>0.214285714285714</v>
      </c>
      <c r="AB4" s="7" t="n">
        <f aca="false">IF(C4&gt;0,N4/C4,"")</f>
        <v>0.214285714285714</v>
      </c>
      <c r="AC4" s="7" t="n">
        <f aca="false">IF(N4&gt;0,R4/N4,"")</f>
        <v>0.0833333333333333</v>
      </c>
    </row>
    <row r="5" customFormat="false" ht="15" hidden="false" customHeight="false" outlineLevel="0" collapsed="false">
      <c r="A5" s="11" t="s">
        <v>52</v>
      </c>
      <c r="B5" s="12" t="n">
        <f aca="false">SUM(B2:B4)</f>
        <v>488.01</v>
      </c>
      <c r="C5" s="13" t="n">
        <f aca="false">SUM(C2:C4)</f>
        <v>5230</v>
      </c>
      <c r="D5" s="13"/>
      <c r="E5" s="13" t="n">
        <f aca="false">SUM(E2:E4)</f>
        <v>293</v>
      </c>
      <c r="F5" s="13" t="n">
        <f aca="false">SUM(F2:F4)</f>
        <v>236</v>
      </c>
      <c r="G5" s="13" t="n">
        <f aca="false">SUM(G2:G4)</f>
        <v>183</v>
      </c>
      <c r="H5" s="13" t="n">
        <f aca="false">SUM(H2:H4)</f>
        <v>4</v>
      </c>
      <c r="I5" s="13" t="n">
        <f aca="false">SUM(I2:I4)</f>
        <v>1663</v>
      </c>
      <c r="J5" s="13" t="n">
        <f aca="false">SUM(J2:J4)</f>
        <v>27</v>
      </c>
      <c r="K5" s="13" t="n">
        <f aca="false">SUM(K2:K4)</f>
        <v>0</v>
      </c>
      <c r="L5" s="13" t="n">
        <f aca="false">SUM(L2:L4)</f>
        <v>6</v>
      </c>
      <c r="M5" s="13" t="n">
        <f aca="false">SUM(M2:M4)</f>
        <v>6</v>
      </c>
      <c r="N5" s="13" t="n">
        <f aca="false">SUM(N2:N4)</f>
        <v>1388</v>
      </c>
      <c r="O5" s="13" t="n">
        <f aca="false">SUM(O2:O4)</f>
        <v>1069</v>
      </c>
      <c r="P5" s="13" t="n">
        <f aca="false">SUM(P2:P4)</f>
        <v>430</v>
      </c>
      <c r="Q5" s="13" t="n">
        <f aca="false">SUM(Q2:Q4)</f>
        <v>223</v>
      </c>
      <c r="R5" s="13" t="n">
        <f aca="false">SUM(R2:R4)</f>
        <v>123</v>
      </c>
      <c r="S5" s="13" t="n">
        <f aca="false">SUM(S2:S4)</f>
        <v>161</v>
      </c>
      <c r="T5" s="14" t="str">
        <f aca="false">IF(D5&gt;0,C5/D5,"")</f>
        <v/>
      </c>
      <c r="U5" s="15" t="n">
        <f aca="false">IF(C5&gt;0,F5/C5,"")</f>
        <v>0.0451242829827916</v>
      </c>
      <c r="V5" s="12" t="n">
        <f aca="false">IF(C5&gt;0,B5/C5*1000,"")</f>
        <v>93.3097514340344</v>
      </c>
      <c r="W5" s="12" t="n">
        <f aca="false">IF(F5&gt;0,B5/F5,"")</f>
        <v>2.06783898305085</v>
      </c>
      <c r="X5" s="12" t="n">
        <f aca="false">IF(H5&gt;0,B5/H5,"")</f>
        <v>122.0025</v>
      </c>
      <c r="Y5" s="16" t="n">
        <f aca="false">IF(F5&gt;0,G5/F5,"")</f>
        <v>0.775423728813559</v>
      </c>
      <c r="Z5" s="16" t="n">
        <f aca="false">IF(G5&gt;0,H5/G5,"")</f>
        <v>0.0218579234972678</v>
      </c>
      <c r="AA5" s="15" t="n">
        <f aca="false">IF(C5&gt;0,I5/C5,"")</f>
        <v>0.317973231357553</v>
      </c>
      <c r="AB5" s="16" t="n">
        <f aca="false">IF(C5&gt;0,N5/C5,"")</f>
        <v>0.265391969407266</v>
      </c>
      <c r="AC5" s="16" t="n">
        <f aca="false">IF(N5&gt;0,R5/N5,"")</f>
        <v>0.0886167146974063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0" min="3" style="0" width="13"/>
  </cols>
  <sheetData>
    <row r="1" customFormat="false" ht="31.5" hidden="false" customHeight="true" outlineLevel="0" collapsed="false">
      <c r="A1" s="10" t="s">
        <v>64</v>
      </c>
      <c r="B1" s="10" t="s">
        <v>71</v>
      </c>
      <c r="C1" s="10" t="s">
        <v>4</v>
      </c>
      <c r="D1" s="10" t="s">
        <v>5</v>
      </c>
      <c r="E1" s="10" t="s">
        <v>28</v>
      </c>
      <c r="F1" s="10" t="s">
        <v>29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10</v>
      </c>
      <c r="P1" s="10" t="s">
        <v>34</v>
      </c>
      <c r="Q1" s="10" t="s">
        <v>35</v>
      </c>
      <c r="R1" s="10" t="s">
        <v>36</v>
      </c>
      <c r="S1" s="10" t="s">
        <v>37</v>
      </c>
      <c r="T1" s="10" t="s">
        <v>11</v>
      </c>
      <c r="U1" s="10" t="s">
        <v>21</v>
      </c>
      <c r="V1" s="10" t="s">
        <v>12</v>
      </c>
      <c r="W1" s="10" t="s">
        <v>13</v>
      </c>
      <c r="X1" s="10" t="s">
        <v>14</v>
      </c>
      <c r="Y1" s="10" t="s">
        <v>15</v>
      </c>
      <c r="Z1" s="10" t="s">
        <v>16</v>
      </c>
      <c r="AA1" s="10" t="s">
        <v>17</v>
      </c>
      <c r="AB1" s="10" t="s">
        <v>38</v>
      </c>
      <c r="AC1" s="10" t="s">
        <v>18</v>
      </c>
      <c r="AD1" s="10" t="s">
        <v>19</v>
      </c>
    </row>
    <row r="2" customFormat="false" ht="15" hidden="false" customHeight="false" outlineLevel="0" collapsed="false">
      <c r="A2" s="2" t="s">
        <v>65</v>
      </c>
      <c r="B2" s="2" t="s">
        <v>72</v>
      </c>
      <c r="C2" s="4" t="n">
        <v>84.1</v>
      </c>
      <c r="D2" s="5" t="n">
        <v>1006</v>
      </c>
      <c r="E2" s="5" t="n">
        <v>638</v>
      </c>
      <c r="F2" s="5" t="n">
        <v>54</v>
      </c>
      <c r="G2" s="5" t="n">
        <v>43</v>
      </c>
      <c r="H2" s="5" t="n">
        <v>36</v>
      </c>
      <c r="I2" s="5" t="n">
        <v>2</v>
      </c>
      <c r="J2" s="5" t="n">
        <v>337</v>
      </c>
      <c r="K2" s="5" t="n">
        <v>8</v>
      </c>
      <c r="L2" s="5" t="n">
        <v>0</v>
      </c>
      <c r="M2" s="5" t="n">
        <v>0</v>
      </c>
      <c r="N2" s="5" t="n">
        <v>2</v>
      </c>
      <c r="O2" s="5" t="n">
        <v>284</v>
      </c>
      <c r="P2" s="5" t="n">
        <v>222</v>
      </c>
      <c r="Q2" s="5" t="n">
        <v>91</v>
      </c>
      <c r="R2" s="5" t="n">
        <v>45</v>
      </c>
      <c r="S2" s="5" t="n">
        <v>21</v>
      </c>
      <c r="T2" s="5" t="n">
        <v>26</v>
      </c>
      <c r="U2" s="8" t="n">
        <f aca="false">IF(E2&gt;0,D2/E2,"")</f>
        <v>1.57680250783699</v>
      </c>
      <c r="V2" s="6" t="n">
        <f aca="false">IF(D2&gt;0,G2/D2,"")</f>
        <v>0.0427435387673956</v>
      </c>
      <c r="W2" s="4" t="n">
        <f aca="false">IF(D2&gt;0,C2/D2*1000,"")</f>
        <v>83.5984095427435</v>
      </c>
      <c r="X2" s="4" t="n">
        <f aca="false">IF(G2&gt;0,C2/G2,"")</f>
        <v>1.95581395348837</v>
      </c>
      <c r="Y2" s="4" t="n">
        <f aca="false">IF(I2&gt;0,C2/I2,"")</f>
        <v>42.05</v>
      </c>
      <c r="Z2" s="7" t="n">
        <f aca="false">IF(G2&gt;0,H2/G2,"")</f>
        <v>0.837209302325581</v>
      </c>
      <c r="AA2" s="7" t="n">
        <f aca="false">IF(H2&gt;0,I2/H2,"")</f>
        <v>0.0555555555555556</v>
      </c>
      <c r="AB2" s="6" t="n">
        <f aca="false">IF(D2&gt;0,J2/D2,"")</f>
        <v>0.334990059642147</v>
      </c>
      <c r="AC2" s="7" t="n">
        <f aca="false">IF(D2&gt;0,O2/D2,"")</f>
        <v>0.282306163021869</v>
      </c>
      <c r="AD2" s="7" t="n">
        <f aca="false">IF(O2&gt;0,S2/O2,"")</f>
        <v>0.073943661971831</v>
      </c>
    </row>
    <row r="3" customFormat="false" ht="15" hidden="false" customHeight="false" outlineLevel="0" collapsed="false">
      <c r="A3" s="2" t="s">
        <v>66</v>
      </c>
      <c r="B3" s="2" t="s">
        <v>72</v>
      </c>
      <c r="C3" s="4" t="n">
        <v>80.04</v>
      </c>
      <c r="D3" s="5" t="n">
        <v>595</v>
      </c>
      <c r="E3" s="5" t="n">
        <v>378</v>
      </c>
      <c r="F3" s="5" t="n">
        <v>39</v>
      </c>
      <c r="G3" s="5" t="n">
        <v>34</v>
      </c>
      <c r="H3" s="5" t="n">
        <v>23</v>
      </c>
      <c r="I3" s="5" t="n">
        <v>1</v>
      </c>
      <c r="J3" s="5" t="n">
        <v>195</v>
      </c>
      <c r="K3" s="5" t="n">
        <v>2</v>
      </c>
      <c r="L3" s="5" t="n">
        <v>0</v>
      </c>
      <c r="M3" s="5" t="n">
        <v>0</v>
      </c>
      <c r="N3" s="5" t="n">
        <v>2</v>
      </c>
      <c r="O3" s="5" t="n">
        <v>157</v>
      </c>
      <c r="P3" s="5" t="n">
        <v>115</v>
      </c>
      <c r="Q3" s="5" t="n">
        <v>51</v>
      </c>
      <c r="R3" s="5" t="n">
        <v>34</v>
      </c>
      <c r="S3" s="5" t="n">
        <v>17</v>
      </c>
      <c r="T3" s="5" t="n">
        <v>23</v>
      </c>
      <c r="U3" s="8" t="n">
        <f aca="false">IF(E3&gt;0,D3/E3,"")</f>
        <v>1.57407407407407</v>
      </c>
      <c r="V3" s="6" t="n">
        <f aca="false">IF(D3&gt;0,G3/D3,"")</f>
        <v>0.0571428571428571</v>
      </c>
      <c r="W3" s="4" t="n">
        <f aca="false">IF(D3&gt;0,C3/D3*1000,"")</f>
        <v>134.521008403361</v>
      </c>
      <c r="X3" s="4" t="n">
        <f aca="false">IF(G3&gt;0,C3/G3,"")</f>
        <v>2.35411764705882</v>
      </c>
      <c r="Y3" s="4" t="n">
        <f aca="false">IF(I3&gt;0,C3/I3,"")</f>
        <v>80.04</v>
      </c>
      <c r="Z3" s="7" t="n">
        <f aca="false">IF(G3&gt;0,H3/G3,"")</f>
        <v>0.676470588235294</v>
      </c>
      <c r="AA3" s="7" t="n">
        <f aca="false">IF(H3&gt;0,I3/H3,"")</f>
        <v>0.0434782608695652</v>
      </c>
      <c r="AB3" s="6" t="n">
        <f aca="false">IF(D3&gt;0,J3/D3,"")</f>
        <v>0.327731092436975</v>
      </c>
      <c r="AC3" s="7" t="n">
        <f aca="false">IF(D3&gt;0,O3/D3,"")</f>
        <v>0.263865546218487</v>
      </c>
      <c r="AD3" s="7" t="n">
        <f aca="false">IF(O3&gt;0,S3/O3,"")</f>
        <v>0.10828025477707</v>
      </c>
    </row>
    <row r="4" customFormat="false" ht="15" hidden="false" customHeight="false" outlineLevel="0" collapsed="false">
      <c r="A4" s="2" t="s">
        <v>65</v>
      </c>
      <c r="B4" s="2" t="s">
        <v>73</v>
      </c>
      <c r="C4" s="4" t="n">
        <v>64.65</v>
      </c>
      <c r="D4" s="5" t="n">
        <v>655</v>
      </c>
      <c r="E4" s="5" t="n">
        <v>415</v>
      </c>
      <c r="F4" s="5" t="n">
        <v>25</v>
      </c>
      <c r="G4" s="5" t="n">
        <v>19</v>
      </c>
      <c r="H4" s="5" t="n">
        <v>12</v>
      </c>
      <c r="I4" s="5" t="n">
        <v>0</v>
      </c>
      <c r="J4" s="5" t="n">
        <v>235</v>
      </c>
      <c r="K4" s="5" t="n">
        <v>5</v>
      </c>
      <c r="L4" s="5" t="n">
        <v>0</v>
      </c>
      <c r="M4" s="5" t="n">
        <v>1</v>
      </c>
      <c r="N4" s="5" t="n">
        <v>0</v>
      </c>
      <c r="O4" s="5" t="n">
        <v>210</v>
      </c>
      <c r="P4" s="5" t="n">
        <v>160</v>
      </c>
      <c r="Q4" s="5" t="n">
        <v>60</v>
      </c>
      <c r="R4" s="5" t="n">
        <v>27</v>
      </c>
      <c r="S4" s="5" t="n">
        <v>13</v>
      </c>
      <c r="T4" s="5" t="n">
        <v>15</v>
      </c>
      <c r="U4" s="8" t="n">
        <f aca="false">IF(E4&gt;0,D4/E4,"")</f>
        <v>1.57831325301205</v>
      </c>
      <c r="V4" s="6" t="n">
        <f aca="false">IF(D4&gt;0,G4/D4,"")</f>
        <v>0.0290076335877863</v>
      </c>
      <c r="W4" s="4" t="n">
        <f aca="false">IF(D4&gt;0,C4/D4*1000,"")</f>
        <v>98.7022900763359</v>
      </c>
      <c r="X4" s="4" t="n">
        <f aca="false">IF(G4&gt;0,C4/G4,"")</f>
        <v>3.40263157894737</v>
      </c>
      <c r="Y4" s="4" t="str">
        <f aca="false">IF(I4&gt;0,C4/I4,"")</f>
        <v/>
      </c>
      <c r="Z4" s="7" t="n">
        <f aca="false">IF(G4&gt;0,H4/G4,"")</f>
        <v>0.631578947368421</v>
      </c>
      <c r="AA4" s="7" t="n">
        <f aca="false">IF(H4&gt;0,I4/H4,"")</f>
        <v>0</v>
      </c>
      <c r="AB4" s="6" t="n">
        <f aca="false">IF(D4&gt;0,J4/D4,"")</f>
        <v>0.358778625954198</v>
      </c>
      <c r="AC4" s="7" t="n">
        <f aca="false">IF(D4&gt;0,O4/D4,"")</f>
        <v>0.320610687022901</v>
      </c>
      <c r="AD4" s="7" t="n">
        <f aca="false">IF(O4&gt;0,S4/O4,"")</f>
        <v>0.0619047619047619</v>
      </c>
    </row>
    <row r="5" customFormat="false" ht="15" hidden="false" customHeight="false" outlineLevel="0" collapsed="false">
      <c r="A5" s="2" t="s">
        <v>67</v>
      </c>
      <c r="B5" s="2" t="s">
        <v>72</v>
      </c>
      <c r="C5" s="4" t="n">
        <v>59.34</v>
      </c>
      <c r="D5" s="5" t="n">
        <v>844</v>
      </c>
      <c r="E5" s="5" t="n">
        <v>507</v>
      </c>
      <c r="F5" s="5" t="n">
        <v>41</v>
      </c>
      <c r="G5" s="5" t="n">
        <v>33</v>
      </c>
      <c r="H5" s="5" t="n">
        <v>24</v>
      </c>
      <c r="I5" s="5" t="n">
        <v>0</v>
      </c>
      <c r="J5" s="5" t="n">
        <v>228</v>
      </c>
      <c r="K5" s="5" t="n">
        <v>5</v>
      </c>
      <c r="L5" s="5" t="n">
        <v>0</v>
      </c>
      <c r="M5" s="5" t="n">
        <v>3</v>
      </c>
      <c r="N5" s="5" t="n">
        <v>0</v>
      </c>
      <c r="O5" s="5" t="n">
        <v>187</v>
      </c>
      <c r="P5" s="5" t="n">
        <v>146</v>
      </c>
      <c r="Q5" s="5" t="n">
        <v>45</v>
      </c>
      <c r="R5" s="5" t="n">
        <v>21</v>
      </c>
      <c r="S5" s="5" t="n">
        <v>7</v>
      </c>
      <c r="T5" s="5" t="n">
        <v>10</v>
      </c>
      <c r="U5" s="8" t="n">
        <f aca="false">IF(E5&gt;0,D5/E5,"")</f>
        <v>1.6646942800789</v>
      </c>
      <c r="V5" s="6" t="n">
        <f aca="false">IF(D5&gt;0,G5/D5,"")</f>
        <v>0.0390995260663507</v>
      </c>
      <c r="W5" s="4" t="n">
        <f aca="false">IF(D5&gt;0,C5/D5*1000,"")</f>
        <v>70.3080568720379</v>
      </c>
      <c r="X5" s="4" t="n">
        <f aca="false">IF(G5&gt;0,C5/G5,"")</f>
        <v>1.79818181818182</v>
      </c>
      <c r="Y5" s="4" t="str">
        <f aca="false">IF(I5&gt;0,C5/I5,"")</f>
        <v/>
      </c>
      <c r="Z5" s="7" t="n">
        <f aca="false">IF(G5&gt;0,H5/G5,"")</f>
        <v>0.727272727272727</v>
      </c>
      <c r="AA5" s="7" t="n">
        <f aca="false">IF(H5&gt;0,I5/H5,"")</f>
        <v>0</v>
      </c>
      <c r="AB5" s="6" t="n">
        <f aca="false">IF(D5&gt;0,J5/D5,"")</f>
        <v>0.270142180094787</v>
      </c>
      <c r="AC5" s="7" t="n">
        <f aca="false">IF(D5&gt;0,O5/D5,"")</f>
        <v>0.221563981042654</v>
      </c>
      <c r="AD5" s="7" t="n">
        <f aca="false">IF(O5&gt;0,S5/O5,"")</f>
        <v>0.0374331550802139</v>
      </c>
    </row>
    <row r="6" customFormat="false" ht="15" hidden="false" customHeight="false" outlineLevel="0" collapsed="false">
      <c r="A6" s="2" t="s">
        <v>66</v>
      </c>
      <c r="B6" s="2" t="s">
        <v>73</v>
      </c>
      <c r="C6" s="4" t="n">
        <v>40.67</v>
      </c>
      <c r="D6" s="5" t="n">
        <v>420</v>
      </c>
      <c r="E6" s="5" t="n">
        <v>259</v>
      </c>
      <c r="F6" s="5" t="n">
        <v>19</v>
      </c>
      <c r="G6" s="5" t="n">
        <v>16</v>
      </c>
      <c r="H6" s="5" t="n">
        <v>11</v>
      </c>
      <c r="I6" s="5" t="n">
        <v>0</v>
      </c>
      <c r="J6" s="5" t="n">
        <v>169</v>
      </c>
      <c r="K6" s="5" t="n">
        <v>1</v>
      </c>
      <c r="L6" s="5" t="n">
        <v>0</v>
      </c>
      <c r="M6" s="5" t="n">
        <v>0</v>
      </c>
      <c r="N6" s="5" t="n">
        <v>0</v>
      </c>
      <c r="O6" s="5" t="n">
        <v>152</v>
      </c>
      <c r="P6" s="5" t="n">
        <v>117</v>
      </c>
      <c r="Q6" s="5" t="n">
        <v>44</v>
      </c>
      <c r="R6" s="5" t="n">
        <v>16</v>
      </c>
      <c r="S6" s="5" t="n">
        <v>9</v>
      </c>
      <c r="T6" s="5" t="n">
        <v>10</v>
      </c>
      <c r="U6" s="8" t="n">
        <f aca="false">IF(E6&gt;0,D6/E6,"")</f>
        <v>1.62162162162162</v>
      </c>
      <c r="V6" s="6" t="n">
        <f aca="false">IF(D6&gt;0,G6/D6,"")</f>
        <v>0.0380952380952381</v>
      </c>
      <c r="W6" s="4" t="n">
        <f aca="false">IF(D6&gt;0,C6/D6*1000,"")</f>
        <v>96.8333333333333</v>
      </c>
      <c r="X6" s="4" t="n">
        <f aca="false">IF(G6&gt;0,C6/G6,"")</f>
        <v>2.541875</v>
      </c>
      <c r="Y6" s="4" t="str">
        <f aca="false">IF(I6&gt;0,C6/I6,"")</f>
        <v/>
      </c>
      <c r="Z6" s="7" t="n">
        <f aca="false">IF(G6&gt;0,H6/G6,"")</f>
        <v>0.6875</v>
      </c>
      <c r="AA6" s="7" t="n">
        <f aca="false">IF(H6&gt;0,I6/H6,"")</f>
        <v>0</v>
      </c>
      <c r="AB6" s="6" t="n">
        <f aca="false">IF(D6&gt;0,J6/D6,"")</f>
        <v>0.402380952380952</v>
      </c>
      <c r="AC6" s="7" t="n">
        <f aca="false">IF(D6&gt;0,O6/D6,"")</f>
        <v>0.361904761904762</v>
      </c>
      <c r="AD6" s="7" t="n">
        <f aca="false">IF(O6&gt;0,S6/O6,"")</f>
        <v>0.0592105263157895</v>
      </c>
    </row>
    <row r="7" customFormat="false" ht="15" hidden="false" customHeight="false" outlineLevel="0" collapsed="false">
      <c r="A7" s="2" t="s">
        <v>68</v>
      </c>
      <c r="B7" s="2" t="s">
        <v>73</v>
      </c>
      <c r="C7" s="4" t="n">
        <v>31.96</v>
      </c>
      <c r="D7" s="5" t="n">
        <v>210</v>
      </c>
      <c r="E7" s="5" t="n">
        <v>141</v>
      </c>
      <c r="F7" s="5" t="n">
        <v>14</v>
      </c>
      <c r="G7" s="5" t="n">
        <v>12</v>
      </c>
      <c r="H7" s="5" t="n">
        <v>10</v>
      </c>
      <c r="I7" s="5" t="n">
        <v>0</v>
      </c>
      <c r="J7" s="5" t="n">
        <v>86</v>
      </c>
      <c r="K7" s="5" t="n">
        <v>2</v>
      </c>
      <c r="L7" s="5" t="n">
        <v>0</v>
      </c>
      <c r="M7" s="5" t="n">
        <v>1</v>
      </c>
      <c r="N7" s="5" t="n">
        <v>0</v>
      </c>
      <c r="O7" s="5" t="n">
        <v>71</v>
      </c>
      <c r="P7" s="5" t="n">
        <v>53</v>
      </c>
      <c r="Q7" s="5" t="n">
        <v>25</v>
      </c>
      <c r="R7" s="5" t="n">
        <v>18</v>
      </c>
      <c r="S7" s="5" t="n">
        <v>13</v>
      </c>
      <c r="T7" s="5" t="n">
        <v>15</v>
      </c>
      <c r="U7" s="8" t="n">
        <f aca="false">IF(E7&gt;0,D7/E7,"")</f>
        <v>1.48936170212766</v>
      </c>
      <c r="V7" s="6" t="n">
        <f aca="false">IF(D7&gt;0,G7/D7,"")</f>
        <v>0.0571428571428571</v>
      </c>
      <c r="W7" s="4" t="n">
        <f aca="false">IF(D7&gt;0,C7/D7*1000,"")</f>
        <v>152.190476190476</v>
      </c>
      <c r="X7" s="4" t="n">
        <f aca="false">IF(G7&gt;0,C7/G7,"")</f>
        <v>2.66333333333333</v>
      </c>
      <c r="Y7" s="4" t="str">
        <f aca="false">IF(I7&gt;0,C7/I7,"")</f>
        <v/>
      </c>
      <c r="Z7" s="7" t="n">
        <f aca="false">IF(G7&gt;0,H7/G7,"")</f>
        <v>0.833333333333333</v>
      </c>
      <c r="AA7" s="7" t="n">
        <f aca="false">IF(H7&gt;0,I7/H7,"")</f>
        <v>0</v>
      </c>
      <c r="AB7" s="6" t="n">
        <f aca="false">IF(D7&gt;0,J7/D7,"")</f>
        <v>0.40952380952381</v>
      </c>
      <c r="AC7" s="7" t="n">
        <f aca="false">IF(D7&gt;0,O7/D7,"")</f>
        <v>0.338095238095238</v>
      </c>
      <c r="AD7" s="7" t="n">
        <f aca="false">IF(O7&gt;0,S7/O7,"")</f>
        <v>0.183098591549296</v>
      </c>
    </row>
    <row r="8" customFormat="false" ht="15" hidden="false" customHeight="false" outlineLevel="0" collapsed="false">
      <c r="A8" s="2" t="s">
        <v>67</v>
      </c>
      <c r="B8" s="2" t="s">
        <v>73</v>
      </c>
      <c r="C8" s="4" t="n">
        <v>31.73</v>
      </c>
      <c r="D8" s="5" t="n">
        <v>524</v>
      </c>
      <c r="E8" s="5" t="n">
        <v>306</v>
      </c>
      <c r="F8" s="5" t="n">
        <v>38</v>
      </c>
      <c r="G8" s="5" t="n">
        <v>30</v>
      </c>
      <c r="H8" s="5" t="n">
        <v>28</v>
      </c>
      <c r="I8" s="5" t="n">
        <v>0</v>
      </c>
      <c r="J8" s="5" t="n">
        <v>189</v>
      </c>
      <c r="K8" s="5" t="n">
        <v>2</v>
      </c>
      <c r="L8" s="5" t="n">
        <v>0</v>
      </c>
      <c r="M8" s="5" t="n">
        <v>1</v>
      </c>
      <c r="N8" s="5" t="n">
        <v>1</v>
      </c>
      <c r="O8" s="5" t="n">
        <v>155</v>
      </c>
      <c r="P8" s="5" t="n">
        <v>125</v>
      </c>
      <c r="Q8" s="5" t="n">
        <v>47</v>
      </c>
      <c r="R8" s="5" t="n">
        <v>20</v>
      </c>
      <c r="S8" s="5" t="n">
        <v>12</v>
      </c>
      <c r="T8" s="5" t="n">
        <v>15</v>
      </c>
      <c r="U8" s="8" t="n">
        <f aca="false">IF(E8&gt;0,D8/E8,"")</f>
        <v>1.71241830065359</v>
      </c>
      <c r="V8" s="6" t="n">
        <f aca="false">IF(D8&gt;0,G8/D8,"")</f>
        <v>0.0572519083969466</v>
      </c>
      <c r="W8" s="4" t="n">
        <f aca="false">IF(D8&gt;0,C8/D8*1000,"")</f>
        <v>60.5534351145038</v>
      </c>
      <c r="X8" s="4" t="n">
        <f aca="false">IF(G8&gt;0,C8/G8,"")</f>
        <v>1.05766666666667</v>
      </c>
      <c r="Y8" s="4" t="str">
        <f aca="false">IF(I8&gt;0,C8/I8,"")</f>
        <v/>
      </c>
      <c r="Z8" s="7" t="n">
        <f aca="false">IF(G8&gt;0,H8/G8,"")</f>
        <v>0.933333333333333</v>
      </c>
      <c r="AA8" s="7" t="n">
        <f aca="false">IF(H8&gt;0,I8/H8,"")</f>
        <v>0</v>
      </c>
      <c r="AB8" s="6" t="n">
        <f aca="false">IF(D8&gt;0,J8/D8,"")</f>
        <v>0.360687022900763</v>
      </c>
      <c r="AC8" s="7" t="n">
        <f aca="false">IF(D8&gt;0,O8/D8,"")</f>
        <v>0.295801526717557</v>
      </c>
      <c r="AD8" s="7" t="n">
        <f aca="false">IF(O8&gt;0,S8/O8,"")</f>
        <v>0.0774193548387097</v>
      </c>
    </row>
    <row r="9" customFormat="false" ht="15" hidden="false" customHeight="false" outlineLevel="0" collapsed="false">
      <c r="A9" s="2" t="s">
        <v>68</v>
      </c>
      <c r="B9" s="2" t="s">
        <v>72</v>
      </c>
      <c r="C9" s="4" t="n">
        <v>28.3</v>
      </c>
      <c r="D9" s="5" t="n">
        <v>210</v>
      </c>
      <c r="E9" s="5" t="n">
        <v>149</v>
      </c>
      <c r="F9" s="5" t="n">
        <v>17</v>
      </c>
      <c r="G9" s="5" t="n">
        <v>15</v>
      </c>
      <c r="H9" s="5" t="n">
        <v>9</v>
      </c>
      <c r="I9" s="5" t="n">
        <v>0</v>
      </c>
      <c r="J9" s="5" t="n">
        <v>68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53</v>
      </c>
      <c r="P9" s="5" t="n">
        <v>40</v>
      </c>
      <c r="Q9" s="5" t="n">
        <v>18</v>
      </c>
      <c r="R9" s="5" t="n">
        <v>12</v>
      </c>
      <c r="S9" s="5" t="n">
        <v>7</v>
      </c>
      <c r="T9" s="5" t="n">
        <v>12</v>
      </c>
      <c r="U9" s="8" t="n">
        <f aca="false">IF(E9&gt;0,D9/E9,"")</f>
        <v>1.40939597315436</v>
      </c>
      <c r="V9" s="6" t="n">
        <f aca="false">IF(D9&gt;0,G9/D9,"")</f>
        <v>0.0714285714285714</v>
      </c>
      <c r="W9" s="4" t="n">
        <f aca="false">IF(D9&gt;0,C9/D9*1000,"")</f>
        <v>134.761904761905</v>
      </c>
      <c r="X9" s="4" t="n">
        <f aca="false">IF(G9&gt;0,C9/G9,"")</f>
        <v>1.88666666666667</v>
      </c>
      <c r="Y9" s="4" t="str">
        <f aca="false">IF(I9&gt;0,C9/I9,"")</f>
        <v/>
      </c>
      <c r="Z9" s="7" t="n">
        <f aca="false">IF(G9&gt;0,H9/G9,"")</f>
        <v>0.6</v>
      </c>
      <c r="AA9" s="7" t="n">
        <f aca="false">IF(H9&gt;0,I9/H9,"")</f>
        <v>0</v>
      </c>
      <c r="AB9" s="6" t="n">
        <f aca="false">IF(D9&gt;0,J9/D9,"")</f>
        <v>0.323809523809524</v>
      </c>
      <c r="AC9" s="7" t="n">
        <f aca="false">IF(D9&gt;0,O9/D9,"")</f>
        <v>0.252380952380952</v>
      </c>
      <c r="AD9" s="7" t="n">
        <f aca="false">IF(O9&gt;0,S9/O9,"")</f>
        <v>0.132075471698113</v>
      </c>
    </row>
    <row r="10" customFormat="false" ht="15" hidden="false" customHeight="false" outlineLevel="0" collapsed="false">
      <c r="A10" s="2" t="s">
        <v>69</v>
      </c>
      <c r="B10" s="2" t="s">
        <v>72</v>
      </c>
      <c r="C10" s="4" t="n">
        <v>27.72</v>
      </c>
      <c r="D10" s="5" t="n">
        <v>383</v>
      </c>
      <c r="E10" s="5" t="n">
        <v>196</v>
      </c>
      <c r="F10" s="5" t="n">
        <v>7</v>
      </c>
      <c r="G10" s="5" t="n">
        <v>6</v>
      </c>
      <c r="H10" s="5" t="n">
        <v>5</v>
      </c>
      <c r="I10" s="5" t="n">
        <v>1</v>
      </c>
      <c r="J10" s="5" t="n">
        <v>19</v>
      </c>
      <c r="K10" s="5" t="n">
        <v>2</v>
      </c>
      <c r="L10" s="5" t="n">
        <v>0</v>
      </c>
      <c r="M10" s="5" t="n">
        <v>0</v>
      </c>
      <c r="N10" s="5" t="n">
        <v>1</v>
      </c>
      <c r="O10" s="5" t="n">
        <v>10</v>
      </c>
      <c r="P10" s="5" t="n">
        <v>10</v>
      </c>
      <c r="Q10" s="5" t="n">
        <v>3</v>
      </c>
      <c r="R10" s="5" t="n">
        <v>3</v>
      </c>
      <c r="S10" s="5" t="n">
        <v>2</v>
      </c>
      <c r="T10" s="5" t="n">
        <v>2</v>
      </c>
      <c r="U10" s="8" t="n">
        <f aca="false">IF(E10&gt;0,D10/E10,"")</f>
        <v>1.95408163265306</v>
      </c>
      <c r="V10" s="6" t="n">
        <f aca="false">IF(D10&gt;0,G10/D10,"")</f>
        <v>0.0156657963446475</v>
      </c>
      <c r="W10" s="4" t="n">
        <f aca="false">IF(D10&gt;0,C10/D10*1000,"")</f>
        <v>72.3759791122715</v>
      </c>
      <c r="X10" s="4" t="n">
        <f aca="false">IF(G10&gt;0,C10/G10,"")</f>
        <v>4.62</v>
      </c>
      <c r="Y10" s="4" t="n">
        <f aca="false">IF(I10&gt;0,C10/I10,"")</f>
        <v>27.72</v>
      </c>
      <c r="Z10" s="7" t="n">
        <f aca="false">IF(G10&gt;0,H10/G10,"")</f>
        <v>0.833333333333333</v>
      </c>
      <c r="AA10" s="7" t="n">
        <f aca="false">IF(H10&gt;0,I10/H10,"")</f>
        <v>0.2</v>
      </c>
      <c r="AB10" s="6" t="n">
        <f aca="false">IF(D10&gt;0,J10/D10,"")</f>
        <v>0.0496083550913838</v>
      </c>
      <c r="AC10" s="7" t="n">
        <f aca="false">IF(D10&gt;0,O10/D10,"")</f>
        <v>0.0261096605744125</v>
      </c>
      <c r="AD10" s="7" t="n">
        <f aca="false">IF(O10&gt;0,S10/O10,"")</f>
        <v>0.2</v>
      </c>
    </row>
    <row r="11" customFormat="false" ht="15" hidden="false" customHeight="false" outlineLevel="0" collapsed="false">
      <c r="A11" s="2" t="s">
        <v>70</v>
      </c>
      <c r="B11" s="2" t="s">
        <v>73</v>
      </c>
      <c r="C11" s="4" t="n">
        <v>13.13</v>
      </c>
      <c r="D11" s="5" t="n">
        <v>76</v>
      </c>
      <c r="E11" s="5" t="n">
        <v>55</v>
      </c>
      <c r="F11" s="5" t="n">
        <v>8</v>
      </c>
      <c r="G11" s="5" t="n">
        <v>6</v>
      </c>
      <c r="H11" s="5" t="n">
        <v>5</v>
      </c>
      <c r="I11" s="5" t="n">
        <v>0</v>
      </c>
      <c r="J11" s="5" t="n">
        <v>30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24</v>
      </c>
      <c r="P11" s="5" t="n">
        <v>20</v>
      </c>
      <c r="Q11" s="5" t="n">
        <v>10</v>
      </c>
      <c r="R11" s="5" t="n">
        <v>7</v>
      </c>
      <c r="S11" s="5" t="n">
        <v>6</v>
      </c>
      <c r="T11" s="5" t="n">
        <v>7</v>
      </c>
      <c r="U11" s="8" t="n">
        <f aca="false">IF(E11&gt;0,D11/E11,"")</f>
        <v>1.38181818181818</v>
      </c>
      <c r="V11" s="6" t="n">
        <f aca="false">IF(D11&gt;0,G11/D11,"")</f>
        <v>0.0789473684210526</v>
      </c>
      <c r="W11" s="4" t="n">
        <f aca="false">IF(D11&gt;0,C11/D11*1000,"")</f>
        <v>172.763157894737</v>
      </c>
      <c r="X11" s="4" t="n">
        <f aca="false">IF(G11&gt;0,C11/G11,"")</f>
        <v>2.18833333333333</v>
      </c>
      <c r="Y11" s="4" t="str">
        <f aca="false">IF(I11&gt;0,C11/I11,"")</f>
        <v/>
      </c>
      <c r="Z11" s="7" t="n">
        <f aca="false">IF(G11&gt;0,H11/G11,"")</f>
        <v>0.833333333333333</v>
      </c>
      <c r="AA11" s="7" t="n">
        <f aca="false">IF(H11&gt;0,I11/H11,"")</f>
        <v>0</v>
      </c>
      <c r="AB11" s="6" t="n">
        <f aca="false">IF(D11&gt;0,J11/D11,"")</f>
        <v>0.394736842105263</v>
      </c>
      <c r="AC11" s="7" t="n">
        <f aca="false">IF(D11&gt;0,O11/D11,"")</f>
        <v>0.315789473684211</v>
      </c>
      <c r="AD11" s="7" t="n">
        <f aca="false">IF(O11&gt;0,S11/O11,"")</f>
        <v>0.25</v>
      </c>
    </row>
    <row r="12" customFormat="false" ht="15" hidden="false" customHeight="false" outlineLevel="0" collapsed="false">
      <c r="A12" s="2" t="s">
        <v>69</v>
      </c>
      <c r="B12" s="2" t="s">
        <v>73</v>
      </c>
      <c r="C12" s="4" t="n">
        <v>9.43</v>
      </c>
      <c r="D12" s="5" t="n">
        <v>107</v>
      </c>
      <c r="E12" s="5" t="n">
        <v>73</v>
      </c>
      <c r="F12" s="5" t="n">
        <v>8</v>
      </c>
      <c r="G12" s="5" t="n">
        <v>3</v>
      </c>
      <c r="H12" s="5" t="n">
        <v>5</v>
      </c>
      <c r="I12" s="5" t="n">
        <v>0</v>
      </c>
      <c r="J12" s="5" t="n">
        <v>22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19</v>
      </c>
      <c r="P12" s="5" t="n">
        <v>16</v>
      </c>
      <c r="Q12" s="5" t="n">
        <v>6</v>
      </c>
      <c r="R12" s="5" t="n">
        <v>3</v>
      </c>
      <c r="S12" s="5" t="n">
        <v>2</v>
      </c>
      <c r="T12" s="5" t="n">
        <v>5</v>
      </c>
      <c r="U12" s="8" t="n">
        <f aca="false">IF(E12&gt;0,D12/E12,"")</f>
        <v>1.46575342465753</v>
      </c>
      <c r="V12" s="6" t="n">
        <f aca="false">IF(D12&gt;0,G12/D12,"")</f>
        <v>0.0280373831775701</v>
      </c>
      <c r="W12" s="4" t="n">
        <f aca="false">IF(D12&gt;0,C12/D12*1000,"")</f>
        <v>88.1308411214953</v>
      </c>
      <c r="X12" s="4" t="n">
        <f aca="false">IF(G12&gt;0,C12/G12,"")</f>
        <v>3.14333333333333</v>
      </c>
      <c r="Y12" s="4" t="str">
        <f aca="false">IF(I12&gt;0,C12/I12,"")</f>
        <v/>
      </c>
      <c r="Z12" s="7" t="n">
        <f aca="false">IF(G12&gt;0,H12/G12,"")</f>
        <v>1.66666666666667</v>
      </c>
      <c r="AA12" s="7" t="n">
        <f aca="false">IF(H12&gt;0,I12/H12,"")</f>
        <v>0</v>
      </c>
      <c r="AB12" s="6" t="n">
        <f aca="false">IF(D12&gt;0,J12/D12,"")</f>
        <v>0.205607476635514</v>
      </c>
      <c r="AC12" s="7" t="n">
        <f aca="false">IF(D12&gt;0,O12/D12,"")</f>
        <v>0.177570093457944</v>
      </c>
      <c r="AD12" s="7" t="n">
        <f aca="false">IF(O12&gt;0,S12/O12,"")</f>
        <v>0.105263157894737</v>
      </c>
    </row>
    <row r="13" customFormat="false" ht="15" hidden="false" customHeight="false" outlineLevel="0" collapsed="false">
      <c r="A13" s="2" t="s">
        <v>70</v>
      </c>
      <c r="B13" s="2" t="s">
        <v>72</v>
      </c>
      <c r="C13" s="4" t="n">
        <v>9.31</v>
      </c>
      <c r="D13" s="5" t="n">
        <v>144</v>
      </c>
      <c r="E13" s="5" t="n">
        <v>101</v>
      </c>
      <c r="F13" s="5" t="n">
        <v>20</v>
      </c>
      <c r="G13" s="5" t="n">
        <v>19</v>
      </c>
      <c r="H13" s="5" t="n">
        <v>15</v>
      </c>
      <c r="I13" s="5" t="n">
        <v>0</v>
      </c>
      <c r="J13" s="5" t="n">
        <v>73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54</v>
      </c>
      <c r="P13" s="5" t="n">
        <v>37</v>
      </c>
      <c r="Q13" s="5" t="n">
        <v>27</v>
      </c>
      <c r="R13" s="5" t="n">
        <v>16</v>
      </c>
      <c r="S13" s="5" t="n">
        <v>13</v>
      </c>
      <c r="T13" s="5" t="n">
        <v>20</v>
      </c>
      <c r="U13" s="8" t="n">
        <f aca="false">IF(E13&gt;0,D13/E13,"")</f>
        <v>1.42574257425743</v>
      </c>
      <c r="V13" s="6" t="n">
        <f aca="false">IF(D13&gt;0,G13/D13,"")</f>
        <v>0.131944444444444</v>
      </c>
      <c r="W13" s="4" t="n">
        <f aca="false">IF(D13&gt;0,C13/D13*1000,"")</f>
        <v>64.6527777777778</v>
      </c>
      <c r="X13" s="4" t="n">
        <f aca="false">IF(G13&gt;0,C13/G13,"")</f>
        <v>0.49</v>
      </c>
      <c r="Y13" s="4" t="str">
        <f aca="false">IF(I13&gt;0,C13/I13,"")</f>
        <v/>
      </c>
      <c r="Z13" s="7" t="n">
        <f aca="false">IF(G13&gt;0,H13/G13,"")</f>
        <v>0.789473684210526</v>
      </c>
      <c r="AA13" s="7" t="n">
        <f aca="false">IF(H13&gt;0,I13/H13,"")</f>
        <v>0</v>
      </c>
      <c r="AB13" s="6" t="n">
        <f aca="false">IF(D13&gt;0,J13/D13,"")</f>
        <v>0.506944444444444</v>
      </c>
      <c r="AC13" s="7" t="n">
        <f aca="false">IF(D13&gt;0,O13/D13,"")</f>
        <v>0.375</v>
      </c>
      <c r="AD13" s="7" t="n">
        <f aca="false">IF(O13&gt;0,S13/O13,"")</f>
        <v>0.240740740740741</v>
      </c>
    </row>
    <row r="14" customFormat="false" ht="15" hidden="false" customHeight="false" outlineLevel="0" collapsed="false">
      <c r="A14" s="2" t="s">
        <v>67</v>
      </c>
      <c r="B14" s="2" t="s">
        <v>74</v>
      </c>
      <c r="C14" s="4" t="n">
        <v>5.25</v>
      </c>
      <c r="D14" s="5" t="n">
        <v>22</v>
      </c>
      <c r="E14" s="5" t="n">
        <v>7</v>
      </c>
      <c r="F14" s="5" t="n">
        <v>3</v>
      </c>
      <c r="G14" s="5" t="n">
        <v>0</v>
      </c>
      <c r="H14" s="5" t="n">
        <v>0</v>
      </c>
      <c r="I14" s="5" t="n">
        <v>0</v>
      </c>
      <c r="J14" s="5" t="n">
        <v>5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5</v>
      </c>
      <c r="P14" s="5" t="n">
        <v>3</v>
      </c>
      <c r="Q14" s="5" t="n">
        <v>0</v>
      </c>
      <c r="R14" s="5" t="n">
        <v>0</v>
      </c>
      <c r="S14" s="5" t="n">
        <v>0</v>
      </c>
      <c r="T14" s="5" t="n">
        <v>0</v>
      </c>
      <c r="U14" s="8" t="n">
        <f aca="false">IF(E14&gt;0,D14/E14,"")</f>
        <v>3.14285714285714</v>
      </c>
      <c r="V14" s="6" t="n">
        <f aca="false">IF(D14&gt;0,G14/D14,"")</f>
        <v>0</v>
      </c>
      <c r="W14" s="4" t="n">
        <f aca="false">IF(D14&gt;0,C14/D14*1000,"")</f>
        <v>238.636363636364</v>
      </c>
      <c r="X14" s="4" t="str">
        <f aca="false">IF(G14&gt;0,C14/G14,"")</f>
        <v/>
      </c>
      <c r="Y14" s="4" t="str">
        <f aca="false">IF(I14&gt;0,C14/I14,"")</f>
        <v/>
      </c>
      <c r="Z14" s="7" t="str">
        <f aca="false">IF(G14&gt;0,H14/G14,"")</f>
        <v/>
      </c>
      <c r="AA14" s="7" t="str">
        <f aca="false">IF(H14&gt;0,I14/H14,"")</f>
        <v/>
      </c>
      <c r="AB14" s="6" t="n">
        <f aca="false">IF(D14&gt;0,J14/D14,"")</f>
        <v>0.227272727272727</v>
      </c>
      <c r="AC14" s="7" t="n">
        <f aca="false">IF(D14&gt;0,O14/D14,"")</f>
        <v>0.227272727272727</v>
      </c>
      <c r="AD14" s="7" t="n">
        <f aca="false">IF(O14&gt;0,S14/O14,"")</f>
        <v>0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4" t="n">
        <v>0.75</v>
      </c>
      <c r="D15" s="5" t="n">
        <v>10</v>
      </c>
      <c r="E15" s="5" t="n">
        <v>8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8" t="n">
        <f aca="false">IF(E15&gt;0,D15/E15,"")</f>
        <v>1.25</v>
      </c>
      <c r="V15" s="6" t="n">
        <f aca="false">IF(D15&gt;0,G15/D15,"")</f>
        <v>0</v>
      </c>
      <c r="W15" s="4" t="n">
        <f aca="false">IF(D15&gt;0,C15/D15*1000,"")</f>
        <v>75</v>
      </c>
      <c r="X15" s="4" t="str">
        <f aca="false">IF(G15&gt;0,C15/G15,"")</f>
        <v/>
      </c>
      <c r="Y15" s="4" t="str">
        <f aca="false">IF(I15&gt;0,C15/I15,"")</f>
        <v/>
      </c>
      <c r="Z15" s="7" t="str">
        <f aca="false">IF(G15&gt;0,H15/G15,"")</f>
        <v/>
      </c>
      <c r="AA15" s="7" t="str">
        <f aca="false">IF(H15&gt;0,I15/H15,"")</f>
        <v/>
      </c>
      <c r="AB15" s="6" t="n">
        <f aca="false">IF(D15&gt;0,J15/D15,"")</f>
        <v>0.1</v>
      </c>
      <c r="AC15" s="7" t="n">
        <f aca="false">IF(D15&gt;0,O15/D15,"")</f>
        <v>0.1</v>
      </c>
      <c r="AD15" s="7" t="n">
        <f aca="false">IF(O15&gt;0,S15/O15,"")</f>
        <v>0</v>
      </c>
    </row>
    <row r="16" customFormat="false" ht="15" hidden="false" customHeight="false" outlineLevel="0" collapsed="false">
      <c r="A16" s="2" t="s">
        <v>66</v>
      </c>
      <c r="B16" s="2" t="s">
        <v>74</v>
      </c>
      <c r="C16" s="4" t="n">
        <v>0.7</v>
      </c>
      <c r="D16" s="5" t="n">
        <v>11</v>
      </c>
      <c r="E16" s="5" t="n">
        <v>8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3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3</v>
      </c>
      <c r="P16" s="5" t="n">
        <v>3</v>
      </c>
      <c r="Q16" s="5" t="n">
        <v>2</v>
      </c>
      <c r="R16" s="5" t="n">
        <v>1</v>
      </c>
      <c r="S16" s="5" t="n">
        <v>1</v>
      </c>
      <c r="T16" s="5" t="n">
        <v>1</v>
      </c>
      <c r="U16" s="8" t="n">
        <f aca="false">IF(E16&gt;0,D16/E16,"")</f>
        <v>1.375</v>
      </c>
      <c r="V16" s="6" t="n">
        <f aca="false">IF(D16&gt;0,G16/D16,"")</f>
        <v>0</v>
      </c>
      <c r="W16" s="4" t="n">
        <f aca="false">IF(D16&gt;0,C16/D16*1000,"")</f>
        <v>63.6363636363636</v>
      </c>
      <c r="X16" s="4" t="str">
        <f aca="false">IF(G16&gt;0,C16/G16,"")</f>
        <v/>
      </c>
      <c r="Y16" s="4" t="str">
        <f aca="false">IF(I16&gt;0,C16/I16,"")</f>
        <v/>
      </c>
      <c r="Z16" s="7" t="str">
        <f aca="false">IF(G16&gt;0,H16/G16,"")</f>
        <v/>
      </c>
      <c r="AA16" s="7" t="str">
        <f aca="false">IF(H16&gt;0,I16/H16,"")</f>
        <v/>
      </c>
      <c r="AB16" s="6" t="n">
        <f aca="false">IF(D16&gt;0,J16/D16,"")</f>
        <v>0.272727272727273</v>
      </c>
      <c r="AC16" s="7" t="n">
        <f aca="false">IF(D16&gt;0,O16/D16,"")</f>
        <v>0.272727272727273</v>
      </c>
      <c r="AD16" s="7" t="n">
        <f aca="false">IF(O16&gt;0,S16/O16,"")</f>
        <v>0.333333333333333</v>
      </c>
    </row>
    <row r="17" customFormat="false" ht="15" hidden="false" customHeight="false" outlineLevel="0" collapsed="false">
      <c r="A17" s="2" t="s">
        <v>69</v>
      </c>
      <c r="B17" s="2" t="s">
        <v>74</v>
      </c>
      <c r="C17" s="4" t="n">
        <v>0.55</v>
      </c>
      <c r="D17" s="5" t="n">
        <v>6</v>
      </c>
      <c r="E17" s="5" t="n">
        <v>4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8" t="n">
        <f aca="false">IF(E17&gt;0,D17/E17,"")</f>
        <v>1.5</v>
      </c>
      <c r="V17" s="6" t="n">
        <f aca="false">IF(D17&gt;0,G17/D17,"")</f>
        <v>0</v>
      </c>
      <c r="W17" s="4" t="n">
        <f aca="false">IF(D17&gt;0,C17/D17*1000,"")</f>
        <v>91.6666666666667</v>
      </c>
      <c r="X17" s="4" t="str">
        <f aca="false">IF(G17&gt;0,C17/G17,"")</f>
        <v/>
      </c>
      <c r="Y17" s="4" t="str">
        <f aca="false">IF(I17&gt;0,C17/I17,"")</f>
        <v/>
      </c>
      <c r="Z17" s="7" t="str">
        <f aca="false">IF(G17&gt;0,H17/G17,"")</f>
        <v/>
      </c>
      <c r="AA17" s="7" t="str">
        <f aca="false">IF(H17&gt;0,I17/H17,"")</f>
        <v/>
      </c>
      <c r="AB17" s="6" t="n">
        <f aca="false">IF(D17&gt;0,J17/D17,"")</f>
        <v>0</v>
      </c>
      <c r="AC17" s="7" t="n">
        <f aca="false">IF(D17&gt;0,O17/D17,"")</f>
        <v>0</v>
      </c>
      <c r="AD17" s="7" t="str">
        <f aca="false">IF(O17&gt;0,S17/O17,"")</f>
        <v/>
      </c>
    </row>
    <row r="18" customFormat="false" ht="15" hidden="false" customHeight="false" outlineLevel="0" collapsed="false">
      <c r="A18" s="2" t="s">
        <v>68</v>
      </c>
      <c r="B18" s="2" t="s">
        <v>74</v>
      </c>
      <c r="C18" s="4" t="n">
        <v>0.32</v>
      </c>
      <c r="D18" s="5" t="n">
        <v>6</v>
      </c>
      <c r="E18" s="5" t="n">
        <v>3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2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  <c r="U18" s="8" t="n">
        <f aca="false">IF(E18&gt;0,D18/E18,"")</f>
        <v>2</v>
      </c>
      <c r="V18" s="6" t="n">
        <f aca="false">IF(D18&gt;0,G18/D18,"")</f>
        <v>0</v>
      </c>
      <c r="W18" s="4" t="n">
        <f aca="false">IF(D18&gt;0,C18/D18*1000,"")</f>
        <v>53.3333333333333</v>
      </c>
      <c r="X18" s="4" t="str">
        <f aca="false">IF(G18&gt;0,C18/G18,"")</f>
        <v/>
      </c>
      <c r="Y18" s="4" t="str">
        <f aca="false">IF(I18&gt;0,C18/I18,"")</f>
        <v/>
      </c>
      <c r="Z18" s="7" t="str">
        <f aca="false">IF(G18&gt;0,H18/G18,"")</f>
        <v/>
      </c>
      <c r="AA18" s="7" t="str">
        <f aca="false">IF(H18&gt;0,I18/H18,"")</f>
        <v/>
      </c>
      <c r="AB18" s="6" t="n">
        <f aca="false">IF(D18&gt;0,J18/D18,"")</f>
        <v>0.333333333333333</v>
      </c>
      <c r="AC18" s="7" t="n">
        <f aca="false">IF(D18&gt;0,O18/D18,"")</f>
        <v>0.333333333333333</v>
      </c>
      <c r="AD18" s="7" t="n">
        <f aca="false">IF(O18&gt;0,S18/O18,"")</f>
        <v>0</v>
      </c>
    </row>
    <row r="19" customFormat="false" ht="15" hidden="false" customHeight="false" outlineLevel="0" collapsed="false">
      <c r="A19" s="2" t="s">
        <v>70</v>
      </c>
      <c r="B19" s="2" t="s">
        <v>74</v>
      </c>
      <c r="C19" s="4" t="n">
        <v>0.06</v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8" t="n">
        <f aca="false">IF(E19&gt;0,D19/E19,"")</f>
        <v>1</v>
      </c>
      <c r="V19" s="6" t="n">
        <f aca="false">IF(D19&gt;0,G19/D19,"")</f>
        <v>0</v>
      </c>
      <c r="W19" s="4" t="n">
        <f aca="false">IF(D19&gt;0,C19/D19*1000,"")</f>
        <v>60</v>
      </c>
      <c r="X19" s="4" t="str">
        <f aca="false">IF(G19&gt;0,C19/G19,"")</f>
        <v/>
      </c>
      <c r="Y19" s="4" t="str">
        <f aca="false">IF(I19&gt;0,C19/I19,"")</f>
        <v/>
      </c>
      <c r="Z19" s="7" t="str">
        <f aca="false">IF(G19&gt;0,H19/G19,"")</f>
        <v/>
      </c>
      <c r="AA19" s="7" t="str">
        <f aca="false">IF(H19&gt;0,I19/H19,"")</f>
        <v/>
      </c>
      <c r="AB19" s="6" t="n">
        <f aca="false">IF(D19&gt;0,J19/D19,"")</f>
        <v>1</v>
      </c>
      <c r="AC19" s="7" t="n">
        <f aca="false">IF(D19&gt;0,O19/D19,"")</f>
        <v>1</v>
      </c>
      <c r="AD19" s="7" t="n">
        <f aca="false">IF(O19&gt;0,S19/O19,"")</f>
        <v>0</v>
      </c>
    </row>
    <row r="20" customFormat="false" ht="15" hidden="false" customHeight="false" outlineLevel="0" collapsed="false">
      <c r="A20" s="11" t="s">
        <v>52</v>
      </c>
      <c r="B20" s="11"/>
      <c r="C20" s="12" t="n">
        <f aca="false">SUM(C2:C19)</f>
        <v>488.01</v>
      </c>
      <c r="D20" s="13" t="n">
        <f aca="false">SUM(D2:D19)</f>
        <v>5230</v>
      </c>
      <c r="E20" s="13"/>
      <c r="F20" s="13" t="n">
        <f aca="false">SUM(F2:F19)</f>
        <v>293</v>
      </c>
      <c r="G20" s="13" t="n">
        <f aca="false">SUM(G2:G19)</f>
        <v>236</v>
      </c>
      <c r="H20" s="13" t="n">
        <f aca="false">SUM(H2:H19)</f>
        <v>183</v>
      </c>
      <c r="I20" s="13" t="n">
        <f aca="false">SUM(I2:I19)</f>
        <v>4</v>
      </c>
      <c r="J20" s="13" t="n">
        <f aca="false">SUM(J2:J19)</f>
        <v>1663</v>
      </c>
      <c r="K20" s="13" t="n">
        <f aca="false">SUM(K2:K19)</f>
        <v>27</v>
      </c>
      <c r="L20" s="13" t="n">
        <f aca="false">SUM(L2:L19)</f>
        <v>0</v>
      </c>
      <c r="M20" s="13" t="n">
        <f aca="false">SUM(M2:M19)</f>
        <v>6</v>
      </c>
      <c r="N20" s="13" t="n">
        <f aca="false">SUM(N2:N19)</f>
        <v>6</v>
      </c>
      <c r="O20" s="13" t="n">
        <f aca="false">SUM(O2:O19)</f>
        <v>1388</v>
      </c>
      <c r="P20" s="13" t="n">
        <f aca="false">SUM(P2:P19)</f>
        <v>1069</v>
      </c>
      <c r="Q20" s="13" t="n">
        <f aca="false">SUM(Q2:Q19)</f>
        <v>430</v>
      </c>
      <c r="R20" s="13" t="n">
        <f aca="false">SUM(R2:R19)</f>
        <v>223</v>
      </c>
      <c r="S20" s="13" t="n">
        <f aca="false">SUM(S2:S19)</f>
        <v>123</v>
      </c>
      <c r="T20" s="13" t="n">
        <f aca="false">SUM(T2:T19)</f>
        <v>161</v>
      </c>
      <c r="U20" s="14" t="str">
        <f aca="false">IF(E20&gt;0,D20/E20,"")</f>
        <v/>
      </c>
      <c r="V20" s="15" t="n">
        <f aca="false">IF(D20&gt;0,G20/D20,"")</f>
        <v>0.0451242829827916</v>
      </c>
      <c r="W20" s="12" t="n">
        <f aca="false">IF(D20&gt;0,C20/D20*1000,"")</f>
        <v>93.3097514340344</v>
      </c>
      <c r="X20" s="12" t="n">
        <f aca="false">IF(G20&gt;0,C20/G20,"")</f>
        <v>2.06783898305085</v>
      </c>
      <c r="Y20" s="12" t="n">
        <f aca="false">IF(I20&gt;0,C20/I20,"")</f>
        <v>122.0025</v>
      </c>
      <c r="Z20" s="16" t="n">
        <f aca="false">IF(G20&gt;0,H20/G20,"")</f>
        <v>0.775423728813559</v>
      </c>
      <c r="AA20" s="16" t="n">
        <f aca="false">IF(H20&gt;0,I20/H20,"")</f>
        <v>0.0218579234972678</v>
      </c>
      <c r="AB20" s="15" t="n">
        <f aca="false">IF(D20&gt;0,J20/D20,"")</f>
        <v>0.317973231357553</v>
      </c>
      <c r="AC20" s="16" t="n">
        <f aca="false">IF(D20&gt;0,O20/D20,"")</f>
        <v>0.265391969407266</v>
      </c>
      <c r="AD20" s="16" t="n">
        <f aca="false">IF(O20&gt;0,S20/O20,"")</f>
        <v>0.0886167146974063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75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76</v>
      </c>
      <c r="B2" s="4" t="n">
        <v>77.28</v>
      </c>
      <c r="C2" s="5" t="n">
        <v>850</v>
      </c>
      <c r="D2" s="5" t="n">
        <v>504</v>
      </c>
      <c r="E2" s="5" t="n">
        <v>45</v>
      </c>
      <c r="F2" s="5" t="n">
        <v>34</v>
      </c>
      <c r="G2" s="5" t="n">
        <v>0</v>
      </c>
      <c r="H2" s="5" t="n">
        <v>0</v>
      </c>
      <c r="I2" s="5" t="n">
        <v>332</v>
      </c>
      <c r="J2" s="5" t="n">
        <v>4</v>
      </c>
      <c r="K2" s="5" t="n">
        <v>0</v>
      </c>
      <c r="L2" s="5" t="n">
        <v>0</v>
      </c>
      <c r="M2" s="5" t="n">
        <v>0</v>
      </c>
      <c r="N2" s="5" t="n">
        <v>294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 t="n">
        <f aca="false">IF(D2&gt;0,C2/D2,"")</f>
        <v>1.68650793650794</v>
      </c>
      <c r="U2" s="6" t="n">
        <f aca="false">IF(C2&gt;0,F2/C2,"")</f>
        <v>0.04</v>
      </c>
      <c r="V2" s="4" t="n">
        <f aca="false">IF(C2&gt;0,B2/C2*1000,"")</f>
        <v>90.9176470588235</v>
      </c>
      <c r="W2" s="4" t="n">
        <f aca="false">IF(F2&gt;0,B2/F2,"")</f>
        <v>2.27294117647059</v>
      </c>
      <c r="X2" s="4" t="str">
        <f aca="false">IF(H2&gt;0,B2/H2,"")</f>
        <v/>
      </c>
      <c r="Y2" s="7" t="n">
        <f aca="false">IF(F2&gt;0,G2/F2,"")</f>
        <v>0</v>
      </c>
      <c r="Z2" s="7" t="str">
        <f aca="false">IF(G2&gt;0,H2/G2,"")</f>
        <v/>
      </c>
      <c r="AA2" s="6" t="n">
        <f aca="false">IF(C2&gt;0,I2/C2,"")</f>
        <v>0.390588235294118</v>
      </c>
      <c r="AB2" s="7" t="n">
        <f aca="false">IF(C2&gt;0,N2/C2,"")</f>
        <v>0.345882352941177</v>
      </c>
      <c r="AC2" s="7" t="n">
        <f aca="false">IF(N2&gt;0,R2/N2,"")</f>
        <v>0</v>
      </c>
    </row>
    <row r="3" customFormat="false" ht="15" hidden="false" customHeight="false" outlineLevel="0" collapsed="false">
      <c r="A3" s="2" t="s">
        <v>77</v>
      </c>
      <c r="B3" s="4" t="n">
        <v>53.05</v>
      </c>
      <c r="C3" s="5" t="n">
        <v>592</v>
      </c>
      <c r="D3" s="5" t="n">
        <v>353</v>
      </c>
      <c r="E3" s="5" t="n">
        <v>37</v>
      </c>
      <c r="F3" s="5" t="n">
        <v>31</v>
      </c>
      <c r="G3" s="5" t="n">
        <v>0</v>
      </c>
      <c r="H3" s="5" t="n">
        <v>0</v>
      </c>
      <c r="I3" s="5" t="n">
        <v>178</v>
      </c>
      <c r="J3" s="5" t="n">
        <v>3</v>
      </c>
      <c r="K3" s="5" t="n">
        <v>0</v>
      </c>
      <c r="L3" s="5" t="n">
        <v>0</v>
      </c>
      <c r="M3" s="5" t="n">
        <v>0</v>
      </c>
      <c r="N3" s="5" t="n">
        <v>144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n">
        <f aca="false">IF(D3&gt;0,C3/D3,"")</f>
        <v>1.67705382436261</v>
      </c>
      <c r="U3" s="6" t="n">
        <f aca="false">IF(C3&gt;0,F3/C3,"")</f>
        <v>0.0523648648648649</v>
      </c>
      <c r="V3" s="4" t="n">
        <f aca="false">IF(C3&gt;0,B3/C3*1000,"")</f>
        <v>89.6114864864865</v>
      </c>
      <c r="W3" s="4" t="n">
        <f aca="false">IF(F3&gt;0,B3/F3,"")</f>
        <v>1.71129032258065</v>
      </c>
      <c r="X3" s="4" t="str">
        <f aca="false">IF(H3&gt;0,B3/H3,"")</f>
        <v/>
      </c>
      <c r="Y3" s="7" t="n">
        <f aca="false">IF(F3&gt;0,G3/F3,"")</f>
        <v>0</v>
      </c>
      <c r="Z3" s="7" t="str">
        <f aca="false">IF(G3&gt;0,H3/G3,"")</f>
        <v/>
      </c>
      <c r="AA3" s="6" t="n">
        <f aca="false">IF(C3&gt;0,I3/C3,"")</f>
        <v>0.300675675675676</v>
      </c>
      <c r="AB3" s="7" t="n">
        <f aca="false">IF(C3&gt;0,N3/C3,"")</f>
        <v>0.243243243243243</v>
      </c>
      <c r="AC3" s="7" t="n">
        <f aca="false">IF(N3&gt;0,R3/N3,"")</f>
        <v>0</v>
      </c>
    </row>
    <row r="4" customFormat="false" ht="15" hidden="false" customHeight="false" outlineLevel="0" collapsed="false">
      <c r="A4" s="2" t="s">
        <v>78</v>
      </c>
      <c r="B4" s="4" t="n">
        <v>44.65</v>
      </c>
      <c r="C4" s="5" t="n">
        <v>560</v>
      </c>
      <c r="D4" s="5" t="n">
        <v>377</v>
      </c>
      <c r="E4" s="5" t="n">
        <v>18</v>
      </c>
      <c r="F4" s="5" t="n">
        <v>12</v>
      </c>
      <c r="G4" s="5" t="n">
        <v>0</v>
      </c>
      <c r="H4" s="5" t="n">
        <v>0</v>
      </c>
      <c r="I4" s="5" t="n">
        <v>175</v>
      </c>
      <c r="J4" s="5" t="n">
        <v>3</v>
      </c>
      <c r="K4" s="5" t="n">
        <v>0</v>
      </c>
      <c r="L4" s="5" t="n">
        <v>2</v>
      </c>
      <c r="M4" s="5" t="n">
        <v>2</v>
      </c>
      <c r="N4" s="5" t="n">
        <v>156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 t="n">
        <f aca="false">IF(D4&gt;0,C4/D4,"")</f>
        <v>1.48541114058355</v>
      </c>
      <c r="U4" s="6" t="n">
        <f aca="false">IF(C4&gt;0,F4/C4,"")</f>
        <v>0.0214285714285714</v>
      </c>
      <c r="V4" s="4" t="n">
        <f aca="false">IF(C4&gt;0,B4/C4*1000,"")</f>
        <v>79.7321428571429</v>
      </c>
      <c r="W4" s="4" t="n">
        <f aca="false">IF(F4&gt;0,B4/F4,"")</f>
        <v>3.72083333333333</v>
      </c>
      <c r="X4" s="4" t="str">
        <f aca="false">IF(H4&gt;0,B4/H4,"")</f>
        <v/>
      </c>
      <c r="Y4" s="7" t="n">
        <f aca="false">IF(F4&gt;0,G4/F4,"")</f>
        <v>0</v>
      </c>
      <c r="Z4" s="7" t="str">
        <f aca="false">IF(G4&gt;0,H4/G4,"")</f>
        <v/>
      </c>
      <c r="AA4" s="6" t="n">
        <f aca="false">IF(C4&gt;0,I4/C4,"")</f>
        <v>0.3125</v>
      </c>
      <c r="AB4" s="7" t="n">
        <f aca="false">IF(C4&gt;0,N4/C4,"")</f>
        <v>0.278571428571429</v>
      </c>
      <c r="AC4" s="7" t="n">
        <f aca="false">IF(N4&gt;0,R4/N4,"")</f>
        <v>0</v>
      </c>
    </row>
    <row r="5" customFormat="false" ht="15" hidden="false" customHeight="false" outlineLevel="0" collapsed="false">
      <c r="A5" s="2" t="s">
        <v>79</v>
      </c>
      <c r="B5" s="4" t="n">
        <v>38.83</v>
      </c>
      <c r="C5" s="5" t="n">
        <v>251</v>
      </c>
      <c r="D5" s="5" t="n">
        <v>154</v>
      </c>
      <c r="E5" s="5" t="n">
        <v>8</v>
      </c>
      <c r="F5" s="5" t="n">
        <v>8</v>
      </c>
      <c r="G5" s="5" t="n">
        <v>0</v>
      </c>
      <c r="H5" s="5" t="n">
        <v>0</v>
      </c>
      <c r="I5" s="5" t="n">
        <v>69</v>
      </c>
      <c r="J5" s="5" t="n">
        <v>3</v>
      </c>
      <c r="K5" s="5" t="n">
        <v>0</v>
      </c>
      <c r="L5" s="5" t="n">
        <v>0</v>
      </c>
      <c r="M5" s="5" t="n">
        <v>1</v>
      </c>
      <c r="N5" s="5" t="n">
        <v>57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 t="n">
        <f aca="false">IF(D5&gt;0,C5/D5,"")</f>
        <v>1.62987012987013</v>
      </c>
      <c r="U5" s="6" t="n">
        <f aca="false">IF(C5&gt;0,F5/C5,"")</f>
        <v>0.0318725099601594</v>
      </c>
      <c r="V5" s="4" t="n">
        <f aca="false">IF(C5&gt;0,B5/C5*1000,"")</f>
        <v>154.701195219124</v>
      </c>
      <c r="W5" s="4" t="n">
        <f aca="false">IF(F5&gt;0,B5/F5,"")</f>
        <v>4.85375</v>
      </c>
      <c r="X5" s="4" t="str">
        <f aca="false">IF(H5&gt;0,B5/H5,"")</f>
        <v/>
      </c>
      <c r="Y5" s="7" t="n">
        <f aca="false">IF(F5&gt;0,G5/F5,"")</f>
        <v>0</v>
      </c>
      <c r="Z5" s="7" t="str">
        <f aca="false">IF(G5&gt;0,H5/G5,"")</f>
        <v/>
      </c>
      <c r="AA5" s="6" t="n">
        <f aca="false">IF(C5&gt;0,I5/C5,"")</f>
        <v>0.274900398406375</v>
      </c>
      <c r="AB5" s="7" t="n">
        <f aca="false">IF(C5&gt;0,N5/C5,"")</f>
        <v>0.227091633466135</v>
      </c>
      <c r="AC5" s="7" t="n">
        <f aca="false">IF(N5&gt;0,R5/N5,"")</f>
        <v>0</v>
      </c>
    </row>
    <row r="6" customFormat="false" ht="15" hidden="false" customHeight="false" outlineLevel="0" collapsed="false">
      <c r="A6" s="2" t="s">
        <v>80</v>
      </c>
      <c r="B6" s="4" t="n">
        <v>33.64</v>
      </c>
      <c r="C6" s="5" t="n">
        <v>320</v>
      </c>
      <c r="D6" s="5" t="n">
        <v>205</v>
      </c>
      <c r="E6" s="5" t="n">
        <v>20</v>
      </c>
      <c r="F6" s="5" t="n">
        <v>17</v>
      </c>
      <c r="G6" s="5" t="n">
        <v>0</v>
      </c>
      <c r="H6" s="5" t="n">
        <v>0</v>
      </c>
      <c r="I6" s="5" t="n">
        <v>96</v>
      </c>
      <c r="J6" s="5" t="n">
        <v>1</v>
      </c>
      <c r="K6" s="5" t="n">
        <v>0</v>
      </c>
      <c r="L6" s="5" t="n">
        <v>0</v>
      </c>
      <c r="M6" s="5" t="n">
        <v>0</v>
      </c>
      <c r="N6" s="5" t="n">
        <v>78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 t="n">
        <f aca="false">IF(D6&gt;0,C6/D6,"")</f>
        <v>1.5609756097561</v>
      </c>
      <c r="U6" s="6" t="n">
        <f aca="false">IF(C6&gt;0,F6/C6,"")</f>
        <v>0.053125</v>
      </c>
      <c r="V6" s="4" t="n">
        <f aca="false">IF(C6&gt;0,B6/C6*1000,"")</f>
        <v>105.125</v>
      </c>
      <c r="W6" s="4" t="n">
        <f aca="false">IF(F6&gt;0,B6/F6,"")</f>
        <v>1.97882352941176</v>
      </c>
      <c r="X6" s="4" t="str">
        <f aca="false">IF(H6&gt;0,B6/H6,"")</f>
        <v/>
      </c>
      <c r="Y6" s="7" t="n">
        <f aca="false">IF(F6&gt;0,G6/F6,"")</f>
        <v>0</v>
      </c>
      <c r="Z6" s="7" t="str">
        <f aca="false">IF(G6&gt;0,H6/G6,"")</f>
        <v/>
      </c>
      <c r="AA6" s="6" t="n">
        <f aca="false">IF(C6&gt;0,I6/C6,"")</f>
        <v>0.3</v>
      </c>
      <c r="AB6" s="7" t="n">
        <f aca="false">IF(C6&gt;0,N6/C6,"")</f>
        <v>0.24375</v>
      </c>
      <c r="AC6" s="7" t="n">
        <f aca="false">IF(N6&gt;0,R6/N6,"")</f>
        <v>0</v>
      </c>
    </row>
    <row r="7" customFormat="false" ht="15" hidden="false" customHeight="false" outlineLevel="0" collapsed="false">
      <c r="A7" s="2" t="s">
        <v>81</v>
      </c>
      <c r="B7" s="4" t="n">
        <v>21.85</v>
      </c>
      <c r="C7" s="5" t="n">
        <v>200</v>
      </c>
      <c r="D7" s="5" t="n">
        <v>104</v>
      </c>
      <c r="E7" s="5" t="n">
        <v>11</v>
      </c>
      <c r="F7" s="5" t="n">
        <v>8</v>
      </c>
      <c r="G7" s="5" t="n">
        <v>0</v>
      </c>
      <c r="H7" s="5" t="n">
        <v>0</v>
      </c>
      <c r="I7" s="5" t="n">
        <v>67</v>
      </c>
      <c r="J7" s="5" t="n">
        <v>1</v>
      </c>
      <c r="K7" s="5" t="n">
        <v>0</v>
      </c>
      <c r="L7" s="5" t="n">
        <v>2</v>
      </c>
      <c r="M7" s="5" t="n">
        <v>0</v>
      </c>
      <c r="N7" s="5" t="n">
        <v>56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8" t="n">
        <f aca="false">IF(D7&gt;0,C7/D7,"")</f>
        <v>1.92307692307692</v>
      </c>
      <c r="U7" s="6" t="n">
        <f aca="false">IF(C7&gt;0,F7/C7,"")</f>
        <v>0.04</v>
      </c>
      <c r="V7" s="4" t="n">
        <f aca="false">IF(C7&gt;0,B7/C7*1000,"")</f>
        <v>109.25</v>
      </c>
      <c r="W7" s="4" t="n">
        <f aca="false">IF(F7&gt;0,B7/F7,"")</f>
        <v>2.73125</v>
      </c>
      <c r="X7" s="4" t="str">
        <f aca="false">IF(H7&gt;0,B7/H7,"")</f>
        <v/>
      </c>
      <c r="Y7" s="7" t="n">
        <f aca="false">IF(F7&gt;0,G7/F7,"")</f>
        <v>0</v>
      </c>
      <c r="Z7" s="7" t="str">
        <f aca="false">IF(G7&gt;0,H7/G7,"")</f>
        <v/>
      </c>
      <c r="AA7" s="6" t="n">
        <f aca="false">IF(C7&gt;0,I7/C7,"")</f>
        <v>0.335</v>
      </c>
      <c r="AB7" s="7" t="n">
        <f aca="false">IF(C7&gt;0,N7/C7,"")</f>
        <v>0.28</v>
      </c>
      <c r="AC7" s="7" t="n">
        <f aca="false">IF(N7&gt;0,R7/N7,"")</f>
        <v>0</v>
      </c>
    </row>
    <row r="8" customFormat="false" ht="15" hidden="false" customHeight="false" outlineLevel="0" collapsed="false">
      <c r="A8" s="2" t="s">
        <v>82</v>
      </c>
      <c r="B8" s="4" t="n">
        <v>19.73</v>
      </c>
      <c r="C8" s="5" t="n">
        <v>86</v>
      </c>
      <c r="D8" s="5" t="n">
        <v>57</v>
      </c>
      <c r="E8" s="5" t="n">
        <v>4</v>
      </c>
      <c r="F8" s="5" t="n">
        <v>3</v>
      </c>
      <c r="G8" s="5" t="n">
        <v>0</v>
      </c>
      <c r="H8" s="5" t="n">
        <v>0</v>
      </c>
      <c r="I8" s="5" t="n">
        <v>22</v>
      </c>
      <c r="J8" s="5" t="n">
        <v>2</v>
      </c>
      <c r="K8" s="5" t="n">
        <v>0</v>
      </c>
      <c r="L8" s="5" t="n">
        <v>0</v>
      </c>
      <c r="M8" s="5" t="n">
        <v>0</v>
      </c>
      <c r="N8" s="5" t="n">
        <v>17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8" t="n">
        <f aca="false">IF(D8&gt;0,C8/D8,"")</f>
        <v>1.50877192982456</v>
      </c>
      <c r="U8" s="6" t="n">
        <f aca="false">IF(C8&gt;0,F8/C8,"")</f>
        <v>0.0348837209302326</v>
      </c>
      <c r="V8" s="4" t="n">
        <f aca="false">IF(C8&gt;0,B8/C8*1000,"")</f>
        <v>229.418604651163</v>
      </c>
      <c r="W8" s="4" t="n">
        <f aca="false">IF(F8&gt;0,B8/F8,"")</f>
        <v>6.57666666666667</v>
      </c>
      <c r="X8" s="4" t="str">
        <f aca="false">IF(H8&gt;0,B8/H8,"")</f>
        <v/>
      </c>
      <c r="Y8" s="7" t="n">
        <f aca="false">IF(F8&gt;0,G8/F8,"")</f>
        <v>0</v>
      </c>
      <c r="Z8" s="7" t="str">
        <f aca="false">IF(G8&gt;0,H8/G8,"")</f>
        <v/>
      </c>
      <c r="AA8" s="6" t="n">
        <f aca="false">IF(C8&gt;0,I8/C8,"")</f>
        <v>0.255813953488372</v>
      </c>
      <c r="AB8" s="7" t="n">
        <f aca="false">IF(C8&gt;0,N8/C8,"")</f>
        <v>0.197674418604651</v>
      </c>
      <c r="AC8" s="7" t="n">
        <f aca="false">IF(N8&gt;0,R8/N8,"")</f>
        <v>0</v>
      </c>
    </row>
    <row r="9" customFormat="false" ht="15" hidden="false" customHeight="false" outlineLevel="0" collapsed="false">
      <c r="A9" s="2" t="s">
        <v>83</v>
      </c>
      <c r="B9" s="4" t="n">
        <v>18.45</v>
      </c>
      <c r="C9" s="5" t="n">
        <v>223</v>
      </c>
      <c r="D9" s="5" t="n">
        <v>127</v>
      </c>
      <c r="E9" s="5" t="n">
        <v>7</v>
      </c>
      <c r="F9" s="5" t="n">
        <v>5</v>
      </c>
      <c r="G9" s="5" t="n">
        <v>0</v>
      </c>
      <c r="H9" s="5" t="n">
        <v>0</v>
      </c>
      <c r="I9" s="5" t="n">
        <v>64</v>
      </c>
      <c r="J9" s="5" t="n">
        <v>2</v>
      </c>
      <c r="K9" s="5" t="n">
        <v>0</v>
      </c>
      <c r="L9" s="5" t="n">
        <v>0</v>
      </c>
      <c r="M9" s="5" t="n">
        <v>1</v>
      </c>
      <c r="N9" s="5" t="n">
        <v>56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8" t="n">
        <f aca="false">IF(D9&gt;0,C9/D9,"")</f>
        <v>1.75590551181102</v>
      </c>
      <c r="U9" s="6" t="n">
        <f aca="false">IF(C9&gt;0,F9/C9,"")</f>
        <v>0.0224215246636771</v>
      </c>
      <c r="V9" s="4" t="n">
        <f aca="false">IF(C9&gt;0,B9/C9*1000,"")</f>
        <v>82.7354260089686</v>
      </c>
      <c r="W9" s="4" t="n">
        <f aca="false">IF(F9&gt;0,B9/F9,"")</f>
        <v>3.69</v>
      </c>
      <c r="X9" s="4" t="str">
        <f aca="false">IF(H9&gt;0,B9/H9,"")</f>
        <v/>
      </c>
      <c r="Y9" s="7" t="n">
        <f aca="false">IF(F9&gt;0,G9/F9,"")</f>
        <v>0</v>
      </c>
      <c r="Z9" s="7" t="str">
        <f aca="false">IF(G9&gt;0,H9/G9,"")</f>
        <v/>
      </c>
      <c r="AA9" s="6" t="n">
        <f aca="false">IF(C9&gt;0,I9/C9,"")</f>
        <v>0.286995515695067</v>
      </c>
      <c r="AB9" s="7" t="n">
        <f aca="false">IF(C9&gt;0,N9/C9,"")</f>
        <v>0.251121076233184</v>
      </c>
      <c r="AC9" s="7" t="n">
        <f aca="false">IF(N9&gt;0,R9/N9,"")</f>
        <v>0</v>
      </c>
    </row>
    <row r="10" customFormat="false" ht="15" hidden="false" customHeight="false" outlineLevel="0" collapsed="false">
      <c r="A10" s="2" t="s">
        <v>84</v>
      </c>
      <c r="B10" s="4" t="n">
        <v>16.51</v>
      </c>
      <c r="C10" s="5" t="n">
        <v>137</v>
      </c>
      <c r="D10" s="5" t="n">
        <v>82</v>
      </c>
      <c r="E10" s="5" t="n">
        <v>5</v>
      </c>
      <c r="F10" s="5" t="n">
        <v>6</v>
      </c>
      <c r="G10" s="5" t="n">
        <v>0</v>
      </c>
      <c r="H10" s="5" t="n">
        <v>0</v>
      </c>
      <c r="I10" s="5" t="n">
        <v>39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33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8" t="n">
        <f aca="false">IF(D10&gt;0,C10/D10,"")</f>
        <v>1.67073170731707</v>
      </c>
      <c r="U10" s="6" t="n">
        <f aca="false">IF(C10&gt;0,F10/C10,"")</f>
        <v>0.0437956204379562</v>
      </c>
      <c r="V10" s="4" t="n">
        <f aca="false">IF(C10&gt;0,B10/C10*1000,"")</f>
        <v>120.51094890511</v>
      </c>
      <c r="W10" s="4" t="n">
        <f aca="false">IF(F10&gt;0,B10/F10,"")</f>
        <v>2.75166666666667</v>
      </c>
      <c r="X10" s="4" t="str">
        <f aca="false">IF(H10&gt;0,B10/H10,"")</f>
        <v/>
      </c>
      <c r="Y10" s="7" t="n">
        <f aca="false">IF(F10&gt;0,G10/F10,"")</f>
        <v>0</v>
      </c>
      <c r="Z10" s="7" t="str">
        <f aca="false">IF(G10&gt;0,H10/G10,"")</f>
        <v/>
      </c>
      <c r="AA10" s="6" t="n">
        <f aca="false">IF(C10&gt;0,I10/C10,"")</f>
        <v>0.284671532846715</v>
      </c>
      <c r="AB10" s="7" t="n">
        <f aca="false">IF(C10&gt;0,N10/C10,"")</f>
        <v>0.240875912408759</v>
      </c>
      <c r="AC10" s="7" t="n">
        <f aca="false">IF(N10&gt;0,R10/N10,"")</f>
        <v>0</v>
      </c>
    </row>
    <row r="11" customFormat="false" ht="15" hidden="false" customHeight="false" outlineLevel="0" collapsed="false">
      <c r="A11" s="2" t="s">
        <v>85</v>
      </c>
      <c r="B11" s="4" t="n">
        <v>14.1</v>
      </c>
      <c r="C11" s="5" t="n">
        <v>133</v>
      </c>
      <c r="D11" s="5" t="n">
        <v>79</v>
      </c>
      <c r="E11" s="5" t="n">
        <v>12</v>
      </c>
      <c r="F11" s="5" t="n">
        <v>6</v>
      </c>
      <c r="G11" s="5" t="n">
        <v>0</v>
      </c>
      <c r="H11" s="5" t="n">
        <v>0</v>
      </c>
      <c r="I11" s="5" t="n">
        <v>42</v>
      </c>
      <c r="J11" s="5" t="n">
        <v>1</v>
      </c>
      <c r="K11" s="5" t="n">
        <v>0</v>
      </c>
      <c r="L11" s="5" t="n">
        <v>1</v>
      </c>
      <c r="M11" s="5" t="n">
        <v>0</v>
      </c>
      <c r="N11" s="5" t="n">
        <v>34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8" t="n">
        <f aca="false">IF(D11&gt;0,C11/D11,"")</f>
        <v>1.68354430379747</v>
      </c>
      <c r="U11" s="6" t="n">
        <f aca="false">IF(C11&gt;0,F11/C11,"")</f>
        <v>0.0451127819548872</v>
      </c>
      <c r="V11" s="4" t="n">
        <f aca="false">IF(C11&gt;0,B11/C11*1000,"")</f>
        <v>106.015037593985</v>
      </c>
      <c r="W11" s="4" t="n">
        <f aca="false">IF(F11&gt;0,B11/F11,"")</f>
        <v>2.35</v>
      </c>
      <c r="X11" s="4" t="str">
        <f aca="false">IF(H11&gt;0,B11/H11,"")</f>
        <v/>
      </c>
      <c r="Y11" s="7" t="n">
        <f aca="false">IF(F11&gt;0,G11/F11,"")</f>
        <v>0</v>
      </c>
      <c r="Z11" s="7" t="str">
        <f aca="false">IF(G11&gt;0,H11/G11,"")</f>
        <v/>
      </c>
      <c r="AA11" s="6" t="n">
        <f aca="false">IF(C11&gt;0,I11/C11,"")</f>
        <v>0.315789473684211</v>
      </c>
      <c r="AB11" s="7" t="n">
        <f aca="false">IF(C11&gt;0,N11/C11,"")</f>
        <v>0.255639097744361</v>
      </c>
      <c r="AC11" s="7" t="n">
        <f aca="false">IF(N11&gt;0,R11/N11,"")</f>
        <v>0</v>
      </c>
    </row>
    <row r="12" customFormat="false" ht="15" hidden="false" customHeight="false" outlineLevel="0" collapsed="false">
      <c r="A12" s="2" t="s">
        <v>86</v>
      </c>
      <c r="B12" s="4" t="n">
        <v>12.13</v>
      </c>
      <c r="C12" s="5" t="n">
        <v>141</v>
      </c>
      <c r="D12" s="5" t="n">
        <v>95</v>
      </c>
      <c r="E12" s="5" t="n">
        <v>9</v>
      </c>
      <c r="F12" s="5" t="n">
        <v>6</v>
      </c>
      <c r="G12" s="5" t="n">
        <v>0</v>
      </c>
      <c r="H12" s="5" t="n">
        <v>0</v>
      </c>
      <c r="I12" s="5" t="n">
        <v>44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38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8" t="n">
        <f aca="false">IF(D12&gt;0,C12/D12,"")</f>
        <v>1.48421052631579</v>
      </c>
      <c r="U12" s="6" t="n">
        <f aca="false">IF(C12&gt;0,F12/C12,"")</f>
        <v>0.0425531914893617</v>
      </c>
      <c r="V12" s="4" t="n">
        <f aca="false">IF(C12&gt;0,B12/C12*1000,"")</f>
        <v>86.0283687943263</v>
      </c>
      <c r="W12" s="4" t="n">
        <f aca="false">IF(F12&gt;0,B12/F12,"")</f>
        <v>2.02166666666667</v>
      </c>
      <c r="X12" s="4" t="str">
        <f aca="false">IF(H12&gt;0,B12/H12,"")</f>
        <v/>
      </c>
      <c r="Y12" s="7" t="n">
        <f aca="false">IF(F12&gt;0,G12/F12,"")</f>
        <v>0</v>
      </c>
      <c r="Z12" s="7" t="str">
        <f aca="false">IF(G12&gt;0,H12/G12,"")</f>
        <v/>
      </c>
      <c r="AA12" s="6" t="n">
        <f aca="false">IF(C12&gt;0,I12/C12,"")</f>
        <v>0.312056737588653</v>
      </c>
      <c r="AB12" s="7" t="n">
        <f aca="false">IF(C12&gt;0,N12/C12,"")</f>
        <v>0.269503546099291</v>
      </c>
      <c r="AC12" s="7" t="n">
        <f aca="false">IF(N12&gt;0,R12/N12,"")</f>
        <v>0</v>
      </c>
    </row>
    <row r="13" customFormat="false" ht="15" hidden="false" customHeight="false" outlineLevel="0" collapsed="false">
      <c r="A13" s="2" t="s">
        <v>87</v>
      </c>
      <c r="B13" s="4" t="n">
        <v>10.67</v>
      </c>
      <c r="C13" s="5" t="n">
        <v>97</v>
      </c>
      <c r="D13" s="5" t="n">
        <v>64</v>
      </c>
      <c r="E13" s="5" t="n">
        <v>3</v>
      </c>
      <c r="F13" s="5" t="n">
        <v>1</v>
      </c>
      <c r="G13" s="5" t="n">
        <v>0</v>
      </c>
      <c r="H13" s="5" t="n">
        <v>0</v>
      </c>
      <c r="I13" s="5" t="n">
        <v>24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23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8" t="n">
        <f aca="false">IF(D13&gt;0,C13/D13,"")</f>
        <v>1.515625</v>
      </c>
      <c r="U13" s="6" t="n">
        <f aca="false">IF(C13&gt;0,F13/C13,"")</f>
        <v>0.0103092783505155</v>
      </c>
      <c r="V13" s="4" t="n">
        <f aca="false">IF(C13&gt;0,B13/C13*1000,"")</f>
        <v>110</v>
      </c>
      <c r="W13" s="4" t="n">
        <f aca="false">IF(F13&gt;0,B13/F13,"")</f>
        <v>10.67</v>
      </c>
      <c r="X13" s="4" t="str">
        <f aca="false">IF(H13&gt;0,B13/H13,"")</f>
        <v/>
      </c>
      <c r="Y13" s="7" t="n">
        <f aca="false">IF(F13&gt;0,G13/F13,"")</f>
        <v>0</v>
      </c>
      <c r="Z13" s="7" t="str">
        <f aca="false">IF(G13&gt;0,H13/G13,"")</f>
        <v/>
      </c>
      <c r="AA13" s="6" t="n">
        <f aca="false">IF(C13&gt;0,I13/C13,"")</f>
        <v>0.247422680412371</v>
      </c>
      <c r="AB13" s="7" t="n">
        <f aca="false">IF(C13&gt;0,N13/C13,"")</f>
        <v>0.237113402061856</v>
      </c>
      <c r="AC13" s="7" t="n">
        <f aca="false">IF(N13&gt;0,R13/N13,"")</f>
        <v>0</v>
      </c>
    </row>
    <row r="14" customFormat="false" ht="15" hidden="false" customHeight="false" outlineLevel="0" collapsed="false">
      <c r="A14" s="2" t="s">
        <v>88</v>
      </c>
      <c r="B14" s="4" t="n">
        <v>9.26</v>
      </c>
      <c r="C14" s="5" t="n">
        <v>64</v>
      </c>
      <c r="D14" s="5" t="n">
        <v>39</v>
      </c>
      <c r="E14" s="5" t="n">
        <v>3</v>
      </c>
      <c r="F14" s="5" t="n">
        <v>2</v>
      </c>
      <c r="G14" s="5" t="n">
        <v>0</v>
      </c>
      <c r="H14" s="5" t="n">
        <v>0</v>
      </c>
      <c r="I14" s="5" t="n">
        <v>8</v>
      </c>
      <c r="J14" s="5" t="n">
        <v>1</v>
      </c>
      <c r="K14" s="5" t="n">
        <v>0</v>
      </c>
      <c r="L14" s="5" t="n">
        <v>0</v>
      </c>
      <c r="M14" s="5" t="n">
        <v>0</v>
      </c>
      <c r="N14" s="5" t="n">
        <v>5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8" t="n">
        <f aca="false">IF(D14&gt;0,C14/D14,"")</f>
        <v>1.64102564102564</v>
      </c>
      <c r="U14" s="6" t="n">
        <f aca="false">IF(C14&gt;0,F14/C14,"")</f>
        <v>0.03125</v>
      </c>
      <c r="V14" s="4" t="n">
        <f aca="false">IF(C14&gt;0,B14/C14*1000,"")</f>
        <v>144.6875</v>
      </c>
      <c r="W14" s="4" t="n">
        <f aca="false">IF(F14&gt;0,B14/F14,"")</f>
        <v>4.63</v>
      </c>
      <c r="X14" s="4" t="str">
        <f aca="false">IF(H14&gt;0,B14/H14,"")</f>
        <v/>
      </c>
      <c r="Y14" s="7" t="n">
        <f aca="false">IF(F14&gt;0,G14/F14,"")</f>
        <v>0</v>
      </c>
      <c r="Z14" s="7" t="str">
        <f aca="false">IF(G14&gt;0,H14/G14,"")</f>
        <v/>
      </c>
      <c r="AA14" s="6" t="n">
        <f aca="false">IF(C14&gt;0,I14/C14,"")</f>
        <v>0.125</v>
      </c>
      <c r="AB14" s="7" t="n">
        <f aca="false">IF(C14&gt;0,N14/C14,"")</f>
        <v>0.078125</v>
      </c>
      <c r="AC14" s="7" t="n">
        <f aca="false">IF(N14&gt;0,R14/N14,"")</f>
        <v>0</v>
      </c>
    </row>
    <row r="15" customFormat="false" ht="15" hidden="false" customHeight="false" outlineLevel="0" collapsed="false">
      <c r="A15" s="2" t="s">
        <v>89</v>
      </c>
      <c r="B15" s="4" t="n">
        <v>9.17</v>
      </c>
      <c r="C15" s="5" t="n">
        <v>121</v>
      </c>
      <c r="D15" s="5" t="n">
        <v>86</v>
      </c>
      <c r="E15" s="5" t="n">
        <v>6</v>
      </c>
      <c r="F15" s="5" t="n">
        <v>6</v>
      </c>
      <c r="G15" s="5" t="n">
        <v>0</v>
      </c>
      <c r="H15" s="5" t="n">
        <v>0</v>
      </c>
      <c r="I15" s="5" t="n">
        <v>41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35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8" t="n">
        <f aca="false">IF(D15&gt;0,C15/D15,"")</f>
        <v>1.40697674418605</v>
      </c>
      <c r="U15" s="6" t="n">
        <f aca="false">IF(C15&gt;0,F15/C15,"")</f>
        <v>0.0495867768595041</v>
      </c>
      <c r="V15" s="4" t="n">
        <f aca="false">IF(C15&gt;0,B15/C15*1000,"")</f>
        <v>75.7851239669422</v>
      </c>
      <c r="W15" s="4" t="n">
        <f aca="false">IF(F15&gt;0,B15/F15,"")</f>
        <v>1.52833333333333</v>
      </c>
      <c r="X15" s="4" t="str">
        <f aca="false">IF(H15&gt;0,B15/H15,"")</f>
        <v/>
      </c>
      <c r="Y15" s="7" t="n">
        <f aca="false">IF(F15&gt;0,G15/F15,"")</f>
        <v>0</v>
      </c>
      <c r="Z15" s="7" t="str">
        <f aca="false">IF(G15&gt;0,H15/G15,"")</f>
        <v/>
      </c>
      <c r="AA15" s="6" t="n">
        <f aca="false">IF(C15&gt;0,I15/C15,"")</f>
        <v>0.338842975206612</v>
      </c>
      <c r="AB15" s="7" t="n">
        <f aca="false">IF(C15&gt;0,N15/C15,"")</f>
        <v>0.289256198347107</v>
      </c>
      <c r="AC15" s="7" t="n">
        <f aca="false">IF(N15&gt;0,R15/N15,"")</f>
        <v>0</v>
      </c>
    </row>
    <row r="16" customFormat="false" ht="15" hidden="false" customHeight="false" outlineLevel="0" collapsed="false">
      <c r="A16" s="2" t="s">
        <v>90</v>
      </c>
      <c r="B16" s="4" t="n">
        <v>8.41</v>
      </c>
      <c r="C16" s="5" t="n">
        <v>94</v>
      </c>
      <c r="D16" s="5" t="n">
        <v>61</v>
      </c>
      <c r="E16" s="5" t="n">
        <v>6</v>
      </c>
      <c r="F16" s="5" t="n">
        <v>5</v>
      </c>
      <c r="G16" s="5" t="n">
        <v>0</v>
      </c>
      <c r="H16" s="5" t="n">
        <v>0</v>
      </c>
      <c r="I16" s="5" t="n">
        <v>30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25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8" t="n">
        <f aca="false">IF(D16&gt;0,C16/D16,"")</f>
        <v>1.54098360655738</v>
      </c>
      <c r="U16" s="6" t="n">
        <f aca="false">IF(C16&gt;0,F16/C16,"")</f>
        <v>0.0531914893617021</v>
      </c>
      <c r="V16" s="4" t="n">
        <f aca="false">IF(C16&gt;0,B16/C16*1000,"")</f>
        <v>89.468085106383</v>
      </c>
      <c r="W16" s="4" t="n">
        <f aca="false">IF(F16&gt;0,B16/F16,"")</f>
        <v>1.682</v>
      </c>
      <c r="X16" s="4" t="str">
        <f aca="false">IF(H16&gt;0,B16/H16,"")</f>
        <v/>
      </c>
      <c r="Y16" s="7" t="n">
        <f aca="false">IF(F16&gt;0,G16/F16,"")</f>
        <v>0</v>
      </c>
      <c r="Z16" s="7" t="str">
        <f aca="false">IF(G16&gt;0,H16/G16,"")</f>
        <v/>
      </c>
      <c r="AA16" s="6" t="n">
        <f aca="false">IF(C16&gt;0,I16/C16,"")</f>
        <v>0.319148936170213</v>
      </c>
      <c r="AB16" s="7" t="n">
        <f aca="false">IF(C16&gt;0,N16/C16,"")</f>
        <v>0.265957446808511</v>
      </c>
      <c r="AC16" s="7" t="n">
        <f aca="false">IF(N16&gt;0,R16/N16,"")</f>
        <v>0</v>
      </c>
    </row>
    <row r="17" customFormat="false" ht="15" hidden="false" customHeight="false" outlineLevel="0" collapsed="false">
      <c r="A17" s="2" t="s">
        <v>91</v>
      </c>
      <c r="B17" s="4" t="n">
        <v>6.94</v>
      </c>
      <c r="C17" s="5" t="n">
        <v>45</v>
      </c>
      <c r="D17" s="5" t="n">
        <v>34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9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8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8" t="n">
        <f aca="false">IF(D17&gt;0,C17/D17,"")</f>
        <v>1.32352941176471</v>
      </c>
      <c r="U17" s="6" t="n">
        <f aca="false">IF(C17&gt;0,F17/C17,"")</f>
        <v>0.0222222222222222</v>
      </c>
      <c r="V17" s="4" t="n">
        <f aca="false">IF(C17&gt;0,B17/C17*1000,"")</f>
        <v>154.222222222222</v>
      </c>
      <c r="W17" s="4" t="n">
        <f aca="false">IF(F17&gt;0,B17/F17,"")</f>
        <v>6.94</v>
      </c>
      <c r="X17" s="4" t="str">
        <f aca="false">IF(H17&gt;0,B17/H17,"")</f>
        <v/>
      </c>
      <c r="Y17" s="7" t="n">
        <f aca="false">IF(F17&gt;0,G17/F17,"")</f>
        <v>0</v>
      </c>
      <c r="Z17" s="7" t="str">
        <f aca="false">IF(G17&gt;0,H17/G17,"")</f>
        <v/>
      </c>
      <c r="AA17" s="6" t="n">
        <f aca="false">IF(C17&gt;0,I17/C17,"")</f>
        <v>0.2</v>
      </c>
      <c r="AB17" s="7" t="n">
        <f aca="false">IF(C17&gt;0,N17/C17,"")</f>
        <v>0.177777777777778</v>
      </c>
      <c r="AC17" s="7" t="n">
        <f aca="false">IF(N17&gt;0,R17/N17,"")</f>
        <v>0</v>
      </c>
    </row>
    <row r="18" customFormat="false" ht="15" hidden="false" customHeight="false" outlineLevel="0" collapsed="false">
      <c r="A18" s="2" t="s">
        <v>92</v>
      </c>
      <c r="B18" s="4" t="n">
        <v>6.85</v>
      </c>
      <c r="C18" s="5" t="n">
        <v>56</v>
      </c>
      <c r="D18" s="5" t="n">
        <v>34</v>
      </c>
      <c r="E18" s="5" t="n">
        <v>6</v>
      </c>
      <c r="F18" s="5" t="n">
        <v>5</v>
      </c>
      <c r="G18" s="5" t="n">
        <v>0</v>
      </c>
      <c r="H18" s="5" t="n">
        <v>0</v>
      </c>
      <c r="I18" s="5" t="n">
        <v>14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9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8" t="n">
        <f aca="false">IF(D18&gt;0,C18/D18,"")</f>
        <v>1.64705882352941</v>
      </c>
      <c r="U18" s="6" t="n">
        <f aca="false">IF(C18&gt;0,F18/C18,"")</f>
        <v>0.0892857142857143</v>
      </c>
      <c r="V18" s="4" t="n">
        <f aca="false">IF(C18&gt;0,B18/C18*1000,"")</f>
        <v>122.321428571429</v>
      </c>
      <c r="W18" s="4" t="n">
        <f aca="false">IF(F18&gt;0,B18/F18,"")</f>
        <v>1.37</v>
      </c>
      <c r="X18" s="4" t="str">
        <f aca="false">IF(H18&gt;0,B18/H18,"")</f>
        <v/>
      </c>
      <c r="Y18" s="7" t="n">
        <f aca="false">IF(F18&gt;0,G18/F18,"")</f>
        <v>0</v>
      </c>
      <c r="Z18" s="7" t="str">
        <f aca="false">IF(G18&gt;0,H18/G18,"")</f>
        <v/>
      </c>
      <c r="AA18" s="6" t="n">
        <f aca="false">IF(C18&gt;0,I18/C18,"")</f>
        <v>0.25</v>
      </c>
      <c r="AB18" s="7" t="n">
        <f aca="false">IF(C18&gt;0,N18/C18,"")</f>
        <v>0.160714285714286</v>
      </c>
      <c r="AC18" s="7" t="n">
        <f aca="false">IF(N18&gt;0,R18/N18,"")</f>
        <v>0</v>
      </c>
    </row>
    <row r="19" customFormat="false" ht="15" hidden="false" customHeight="false" outlineLevel="0" collapsed="false">
      <c r="A19" s="2" t="s">
        <v>93</v>
      </c>
      <c r="B19" s="4" t="n">
        <v>6.82</v>
      </c>
      <c r="C19" s="5" t="n">
        <v>95</v>
      </c>
      <c r="D19" s="5" t="n">
        <v>57</v>
      </c>
      <c r="E19" s="5" t="n">
        <v>3</v>
      </c>
      <c r="F19" s="5" t="n">
        <v>2</v>
      </c>
      <c r="G19" s="5" t="n">
        <v>0</v>
      </c>
      <c r="H19" s="5" t="n">
        <v>0</v>
      </c>
      <c r="I19" s="5" t="n">
        <v>18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15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8" t="n">
        <f aca="false">IF(D19&gt;0,C19/D19,"")</f>
        <v>1.66666666666667</v>
      </c>
      <c r="U19" s="6" t="n">
        <f aca="false">IF(C19&gt;0,F19/C19,"")</f>
        <v>0.0210526315789474</v>
      </c>
      <c r="V19" s="4" t="n">
        <f aca="false">IF(C19&gt;0,B19/C19*1000,"")</f>
        <v>71.7894736842105</v>
      </c>
      <c r="W19" s="4" t="n">
        <f aca="false">IF(F19&gt;0,B19/F19,"")</f>
        <v>3.41</v>
      </c>
      <c r="X19" s="4" t="str">
        <f aca="false">IF(H19&gt;0,B19/H19,"")</f>
        <v/>
      </c>
      <c r="Y19" s="7" t="n">
        <f aca="false">IF(F19&gt;0,G19/F19,"")</f>
        <v>0</v>
      </c>
      <c r="Z19" s="7" t="str">
        <f aca="false">IF(G19&gt;0,H19/G19,"")</f>
        <v/>
      </c>
      <c r="AA19" s="6" t="n">
        <f aca="false">IF(C19&gt;0,I19/C19,"")</f>
        <v>0.189473684210526</v>
      </c>
      <c r="AB19" s="7" t="n">
        <f aca="false">IF(C19&gt;0,N19/C19,"")</f>
        <v>0.157894736842105</v>
      </c>
      <c r="AC19" s="7" t="n">
        <f aca="false">IF(N19&gt;0,R19/N19,"")</f>
        <v>0</v>
      </c>
    </row>
    <row r="20" customFormat="false" ht="15" hidden="false" customHeight="false" outlineLevel="0" collapsed="false">
      <c r="A20" s="2" t="s">
        <v>94</v>
      </c>
      <c r="B20" s="4" t="n">
        <v>6.7</v>
      </c>
      <c r="C20" s="5" t="n">
        <v>57</v>
      </c>
      <c r="D20" s="5" t="n">
        <v>32</v>
      </c>
      <c r="E20" s="5" t="n">
        <v>5</v>
      </c>
      <c r="F20" s="5" t="n">
        <v>5</v>
      </c>
      <c r="G20" s="5" t="n">
        <v>0</v>
      </c>
      <c r="H20" s="5" t="n">
        <v>0</v>
      </c>
      <c r="I20" s="5" t="n">
        <v>30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25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8" t="n">
        <f aca="false">IF(D20&gt;0,C20/D20,"")</f>
        <v>1.78125</v>
      </c>
      <c r="U20" s="6" t="n">
        <f aca="false">IF(C20&gt;0,F20/C20,"")</f>
        <v>0.087719298245614</v>
      </c>
      <c r="V20" s="4" t="n">
        <f aca="false">IF(C20&gt;0,B20/C20*1000,"")</f>
        <v>117.543859649123</v>
      </c>
      <c r="W20" s="4" t="n">
        <f aca="false">IF(F20&gt;0,B20/F20,"")</f>
        <v>1.34</v>
      </c>
      <c r="X20" s="4" t="str">
        <f aca="false">IF(H20&gt;0,B20/H20,"")</f>
        <v/>
      </c>
      <c r="Y20" s="7" t="n">
        <f aca="false">IF(F20&gt;0,G20/F20,"")</f>
        <v>0</v>
      </c>
      <c r="Z20" s="7" t="str">
        <f aca="false">IF(G20&gt;0,H20/G20,"")</f>
        <v/>
      </c>
      <c r="AA20" s="6" t="n">
        <f aca="false">IF(C20&gt;0,I20/C20,"")</f>
        <v>0.526315789473684</v>
      </c>
      <c r="AB20" s="7" t="n">
        <f aca="false">IF(C20&gt;0,N20/C20,"")</f>
        <v>0.43859649122807</v>
      </c>
      <c r="AC20" s="7" t="n">
        <f aca="false">IF(N20&gt;0,R20/N20,"")</f>
        <v>0</v>
      </c>
    </row>
    <row r="21" customFormat="false" ht="15" hidden="false" customHeight="false" outlineLevel="0" collapsed="false">
      <c r="A21" s="2" t="s">
        <v>95</v>
      </c>
      <c r="B21" s="4" t="n">
        <v>6.21</v>
      </c>
      <c r="C21" s="5" t="n">
        <v>121</v>
      </c>
      <c r="D21" s="5" t="n">
        <v>72</v>
      </c>
      <c r="E21" s="5" t="n">
        <v>8</v>
      </c>
      <c r="F21" s="5" t="n">
        <v>4</v>
      </c>
      <c r="G21" s="5" t="n">
        <v>0</v>
      </c>
      <c r="H21" s="5" t="n">
        <v>0</v>
      </c>
      <c r="I21" s="5" t="n">
        <v>31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26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8" t="n">
        <f aca="false">IF(D21&gt;0,C21/D21,"")</f>
        <v>1.68055555555556</v>
      </c>
      <c r="U21" s="6" t="n">
        <f aca="false">IF(C21&gt;0,F21/C21,"")</f>
        <v>0.0330578512396694</v>
      </c>
      <c r="V21" s="4" t="n">
        <f aca="false">IF(C21&gt;0,B21/C21*1000,"")</f>
        <v>51.3223140495868</v>
      </c>
      <c r="W21" s="4" t="n">
        <f aca="false">IF(F21&gt;0,B21/F21,"")</f>
        <v>1.5525</v>
      </c>
      <c r="X21" s="4" t="str">
        <f aca="false">IF(H21&gt;0,B21/H21,"")</f>
        <v/>
      </c>
      <c r="Y21" s="7" t="n">
        <f aca="false">IF(F21&gt;0,G21/F21,"")</f>
        <v>0</v>
      </c>
      <c r="Z21" s="7" t="str">
        <f aca="false">IF(G21&gt;0,H21/G21,"")</f>
        <v/>
      </c>
      <c r="AA21" s="6" t="n">
        <f aca="false">IF(C21&gt;0,I21/C21,"")</f>
        <v>0.256198347107438</v>
      </c>
      <c r="AB21" s="7" t="n">
        <f aca="false">IF(C21&gt;0,N21/C21,"")</f>
        <v>0.214876033057851</v>
      </c>
      <c r="AC21" s="7" t="n">
        <f aca="false">IF(N21&gt;0,R21/N21,"")</f>
        <v>0</v>
      </c>
    </row>
    <row r="22" customFormat="false" ht="15" hidden="false" customHeight="false" outlineLevel="0" collapsed="false">
      <c r="A22" s="2" t="s">
        <v>96</v>
      </c>
      <c r="B22" s="4" t="n">
        <v>5.42</v>
      </c>
      <c r="C22" s="5" t="n">
        <v>70</v>
      </c>
      <c r="D22" s="5" t="n">
        <v>42</v>
      </c>
      <c r="E22" s="5" t="n">
        <v>6</v>
      </c>
      <c r="F22" s="5" t="n">
        <v>4</v>
      </c>
      <c r="G22" s="5" t="n">
        <v>0</v>
      </c>
      <c r="H22" s="5" t="n">
        <v>0</v>
      </c>
      <c r="I22" s="5" t="n">
        <v>25</v>
      </c>
      <c r="J22" s="5" t="n">
        <v>1</v>
      </c>
      <c r="K22" s="5" t="n">
        <v>0</v>
      </c>
      <c r="L22" s="5" t="n">
        <v>0</v>
      </c>
      <c r="M22" s="5" t="n">
        <v>1</v>
      </c>
      <c r="N22" s="5" t="n">
        <v>19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8" t="n">
        <f aca="false">IF(D22&gt;0,C22/D22,"")</f>
        <v>1.66666666666667</v>
      </c>
      <c r="U22" s="6" t="n">
        <f aca="false">IF(C22&gt;0,F22/C22,"")</f>
        <v>0.0571428571428571</v>
      </c>
      <c r="V22" s="4" t="n">
        <f aca="false">IF(C22&gt;0,B22/C22*1000,"")</f>
        <v>77.4285714285714</v>
      </c>
      <c r="W22" s="4" t="n">
        <f aca="false">IF(F22&gt;0,B22/F22,"")</f>
        <v>1.355</v>
      </c>
      <c r="X22" s="4" t="str">
        <f aca="false">IF(H22&gt;0,B22/H22,"")</f>
        <v/>
      </c>
      <c r="Y22" s="7" t="n">
        <f aca="false">IF(F22&gt;0,G22/F22,"")</f>
        <v>0</v>
      </c>
      <c r="Z22" s="7" t="str">
        <f aca="false">IF(G22&gt;0,H22/G22,"")</f>
        <v/>
      </c>
      <c r="AA22" s="6" t="n">
        <f aca="false">IF(C22&gt;0,I22/C22,"")</f>
        <v>0.357142857142857</v>
      </c>
      <c r="AB22" s="7" t="n">
        <f aca="false">IF(C22&gt;0,N22/C22,"")</f>
        <v>0.271428571428571</v>
      </c>
      <c r="AC22" s="7" t="n">
        <f aca="false">IF(N22&gt;0,R22/N22,"")</f>
        <v>0</v>
      </c>
    </row>
    <row r="23" customFormat="false" ht="15" hidden="false" customHeight="false" outlineLevel="0" collapsed="false">
      <c r="A23" s="2" t="s">
        <v>97</v>
      </c>
      <c r="B23" s="4" t="n">
        <v>5.31</v>
      </c>
      <c r="C23" s="5" t="n">
        <v>96</v>
      </c>
      <c r="D23" s="5" t="n">
        <v>60</v>
      </c>
      <c r="E23" s="5" t="n">
        <v>8</v>
      </c>
      <c r="F23" s="5" t="n">
        <v>8</v>
      </c>
      <c r="G23" s="5" t="n">
        <v>0</v>
      </c>
      <c r="H23" s="5" t="n">
        <v>0</v>
      </c>
      <c r="I23" s="5" t="n">
        <v>33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25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8" t="n">
        <f aca="false">IF(D23&gt;0,C23/D23,"")</f>
        <v>1.6</v>
      </c>
      <c r="U23" s="6" t="n">
        <f aca="false">IF(C23&gt;0,F23/C23,"")</f>
        <v>0.0833333333333333</v>
      </c>
      <c r="V23" s="4" t="n">
        <f aca="false">IF(C23&gt;0,B23/C23*1000,"")</f>
        <v>55.3125</v>
      </c>
      <c r="W23" s="4" t="n">
        <f aca="false">IF(F23&gt;0,B23/F23,"")</f>
        <v>0.66375</v>
      </c>
      <c r="X23" s="4" t="str">
        <f aca="false">IF(H23&gt;0,B23/H23,"")</f>
        <v/>
      </c>
      <c r="Y23" s="7" t="n">
        <f aca="false">IF(F23&gt;0,G23/F23,"")</f>
        <v>0</v>
      </c>
      <c r="Z23" s="7" t="str">
        <f aca="false">IF(G23&gt;0,H23/G23,"")</f>
        <v/>
      </c>
      <c r="AA23" s="6" t="n">
        <f aca="false">IF(C23&gt;0,I23/C23,"")</f>
        <v>0.34375</v>
      </c>
      <c r="AB23" s="7" t="n">
        <f aca="false">IF(C23&gt;0,N23/C23,"")</f>
        <v>0.260416666666667</v>
      </c>
      <c r="AC23" s="7" t="n">
        <f aca="false">IF(N23&gt;0,R23/N23,"")</f>
        <v>0</v>
      </c>
    </row>
    <row r="24" customFormat="false" ht="15" hidden="false" customHeight="false" outlineLevel="0" collapsed="false">
      <c r="A24" s="2" t="s">
        <v>98</v>
      </c>
      <c r="B24" s="4" t="n">
        <v>4.8</v>
      </c>
      <c r="C24" s="5" t="n">
        <v>54</v>
      </c>
      <c r="D24" s="5" t="n">
        <v>23</v>
      </c>
      <c r="E24" s="5" t="n">
        <v>1</v>
      </c>
      <c r="F24" s="5" t="n">
        <v>2</v>
      </c>
      <c r="G24" s="5" t="n">
        <v>0</v>
      </c>
      <c r="H24" s="5" t="n">
        <v>0</v>
      </c>
      <c r="I24" s="5" t="n">
        <v>10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8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8" t="n">
        <f aca="false">IF(D24&gt;0,C24/D24,"")</f>
        <v>2.34782608695652</v>
      </c>
      <c r="U24" s="6" t="n">
        <f aca="false">IF(C24&gt;0,F24/C24,"")</f>
        <v>0.037037037037037</v>
      </c>
      <c r="V24" s="4" t="n">
        <f aca="false">IF(C24&gt;0,B24/C24*1000,"")</f>
        <v>88.8888888888889</v>
      </c>
      <c r="W24" s="4" t="n">
        <f aca="false">IF(F24&gt;0,B24/F24,"")</f>
        <v>2.4</v>
      </c>
      <c r="X24" s="4" t="str">
        <f aca="false">IF(H24&gt;0,B24/H24,"")</f>
        <v/>
      </c>
      <c r="Y24" s="7" t="n">
        <f aca="false">IF(F24&gt;0,G24/F24,"")</f>
        <v>0</v>
      </c>
      <c r="Z24" s="7" t="str">
        <f aca="false">IF(G24&gt;0,H24/G24,"")</f>
        <v/>
      </c>
      <c r="AA24" s="6" t="n">
        <f aca="false">IF(C24&gt;0,I24/C24,"")</f>
        <v>0.185185185185185</v>
      </c>
      <c r="AB24" s="7" t="n">
        <f aca="false">IF(C24&gt;0,N24/C24,"")</f>
        <v>0.148148148148148</v>
      </c>
      <c r="AC24" s="7" t="n">
        <f aca="false">IF(N24&gt;0,R24/N24,"")</f>
        <v>0</v>
      </c>
    </row>
    <row r="25" customFormat="false" ht="15" hidden="false" customHeight="false" outlineLevel="0" collapsed="false">
      <c r="A25" s="2" t="s">
        <v>99</v>
      </c>
      <c r="B25" s="4" t="n">
        <v>4.52</v>
      </c>
      <c r="C25" s="5" t="n">
        <v>63</v>
      </c>
      <c r="D25" s="5" t="n">
        <v>38</v>
      </c>
      <c r="E25" s="5" t="n">
        <v>4</v>
      </c>
      <c r="F25" s="5" t="n">
        <v>3</v>
      </c>
      <c r="G25" s="5" t="n">
        <v>0</v>
      </c>
      <c r="H25" s="5" t="n">
        <v>0</v>
      </c>
      <c r="I25" s="5" t="n">
        <v>15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8" t="n">
        <f aca="false">IF(D25&gt;0,C25/D25,"")</f>
        <v>1.65789473684211</v>
      </c>
      <c r="U25" s="6" t="n">
        <f aca="false">IF(C25&gt;0,F25/C25,"")</f>
        <v>0.0476190476190476</v>
      </c>
      <c r="V25" s="4" t="n">
        <f aca="false">IF(C25&gt;0,B25/C25*1000,"")</f>
        <v>71.7460317460317</v>
      </c>
      <c r="W25" s="4" t="n">
        <f aca="false">IF(F25&gt;0,B25/F25,"")</f>
        <v>1.50666666666667</v>
      </c>
      <c r="X25" s="4" t="str">
        <f aca="false">IF(H25&gt;0,B25/H25,"")</f>
        <v/>
      </c>
      <c r="Y25" s="7" t="n">
        <f aca="false">IF(F25&gt;0,G25/F25,"")</f>
        <v>0</v>
      </c>
      <c r="Z25" s="7" t="str">
        <f aca="false">IF(G25&gt;0,H25/G25,"")</f>
        <v/>
      </c>
      <c r="AA25" s="6" t="n">
        <f aca="false">IF(C25&gt;0,I25/C25,"")</f>
        <v>0.238095238095238</v>
      </c>
      <c r="AB25" s="7" t="n">
        <f aca="false">IF(C25&gt;0,N25/C25,"")</f>
        <v>0.19047619047619</v>
      </c>
      <c r="AC25" s="7" t="n">
        <f aca="false">IF(N25&gt;0,R25/N25,"")</f>
        <v>0</v>
      </c>
    </row>
    <row r="26" customFormat="false" ht="15" hidden="false" customHeight="false" outlineLevel="0" collapsed="false">
      <c r="A26" s="2" t="s">
        <v>100</v>
      </c>
      <c r="B26" s="4" t="n">
        <v>4.23</v>
      </c>
      <c r="C26" s="5" t="n">
        <v>61</v>
      </c>
      <c r="D26" s="5" t="n">
        <v>50</v>
      </c>
      <c r="E26" s="5" t="n">
        <v>4</v>
      </c>
      <c r="F26" s="5" t="n">
        <v>3</v>
      </c>
      <c r="G26" s="5" t="n">
        <v>0</v>
      </c>
      <c r="H26" s="5" t="n">
        <v>0</v>
      </c>
      <c r="I26" s="5" t="n">
        <v>18</v>
      </c>
      <c r="J26" s="5" t="n">
        <v>1</v>
      </c>
      <c r="K26" s="5" t="n">
        <v>0</v>
      </c>
      <c r="L26" s="5" t="n">
        <v>0</v>
      </c>
      <c r="M26" s="5" t="n">
        <v>0</v>
      </c>
      <c r="N26" s="5" t="n">
        <v>14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8" t="n">
        <f aca="false">IF(D26&gt;0,C26/D26,"")</f>
        <v>1.22</v>
      </c>
      <c r="U26" s="6" t="n">
        <f aca="false">IF(C26&gt;0,F26/C26,"")</f>
        <v>0.0491803278688525</v>
      </c>
      <c r="V26" s="4" t="n">
        <f aca="false">IF(C26&gt;0,B26/C26*1000,"")</f>
        <v>69.344262295082</v>
      </c>
      <c r="W26" s="4" t="n">
        <f aca="false">IF(F26&gt;0,B26/F26,"")</f>
        <v>1.41</v>
      </c>
      <c r="X26" s="4" t="str">
        <f aca="false">IF(H26&gt;0,B26/H26,"")</f>
        <v/>
      </c>
      <c r="Y26" s="7" t="n">
        <f aca="false">IF(F26&gt;0,G26/F26,"")</f>
        <v>0</v>
      </c>
      <c r="Z26" s="7" t="str">
        <f aca="false">IF(G26&gt;0,H26/G26,"")</f>
        <v/>
      </c>
      <c r="AA26" s="6" t="n">
        <f aca="false">IF(C26&gt;0,I26/C26,"")</f>
        <v>0.295081967213115</v>
      </c>
      <c r="AB26" s="7" t="n">
        <f aca="false">IF(C26&gt;0,N26/C26,"")</f>
        <v>0.229508196721311</v>
      </c>
      <c r="AC26" s="7" t="n">
        <f aca="false">IF(N26&gt;0,R26/N26,"")</f>
        <v>0</v>
      </c>
    </row>
    <row r="27" customFormat="false" ht="15" hidden="false" customHeight="false" outlineLevel="0" collapsed="false">
      <c r="A27" s="2" t="s">
        <v>101</v>
      </c>
      <c r="B27" s="4" t="n">
        <v>4.17</v>
      </c>
      <c r="C27" s="5" t="n">
        <v>72</v>
      </c>
      <c r="D27" s="5" t="n">
        <v>51</v>
      </c>
      <c r="E27" s="5" t="n">
        <v>8</v>
      </c>
      <c r="F27" s="5" t="n">
        <v>6</v>
      </c>
      <c r="G27" s="5" t="n">
        <v>0</v>
      </c>
      <c r="H27" s="5" t="n">
        <v>0</v>
      </c>
      <c r="I27" s="5" t="n">
        <v>26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19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8" t="n">
        <f aca="false">IF(D27&gt;0,C27/D27,"")</f>
        <v>1.41176470588235</v>
      </c>
      <c r="U27" s="6" t="n">
        <f aca="false">IF(C27&gt;0,F27/C27,"")</f>
        <v>0.0833333333333333</v>
      </c>
      <c r="V27" s="4" t="n">
        <f aca="false">IF(C27&gt;0,B27/C27*1000,"")</f>
        <v>57.9166666666667</v>
      </c>
      <c r="W27" s="4" t="n">
        <f aca="false">IF(F27&gt;0,B27/F27,"")</f>
        <v>0.695</v>
      </c>
      <c r="X27" s="4" t="str">
        <f aca="false">IF(H27&gt;0,B27/H27,"")</f>
        <v/>
      </c>
      <c r="Y27" s="7" t="n">
        <f aca="false">IF(F27&gt;0,G27/F27,"")</f>
        <v>0</v>
      </c>
      <c r="Z27" s="7" t="str">
        <f aca="false">IF(G27&gt;0,H27/G27,"")</f>
        <v/>
      </c>
      <c r="AA27" s="6" t="n">
        <f aca="false">IF(C27&gt;0,I27/C27,"")</f>
        <v>0.361111111111111</v>
      </c>
      <c r="AB27" s="7" t="n">
        <f aca="false">IF(C27&gt;0,N27/C27,"")</f>
        <v>0.263888888888889</v>
      </c>
      <c r="AC27" s="7" t="n">
        <f aca="false">IF(N27&gt;0,R27/N27,"")</f>
        <v>0</v>
      </c>
    </row>
    <row r="28" customFormat="false" ht="15" hidden="false" customHeight="false" outlineLevel="0" collapsed="false">
      <c r="A28" s="2" t="s">
        <v>102</v>
      </c>
      <c r="B28" s="4" t="n">
        <v>4.17</v>
      </c>
      <c r="C28" s="5" t="n">
        <v>86</v>
      </c>
      <c r="D28" s="5" t="n">
        <v>63</v>
      </c>
      <c r="E28" s="5" t="n">
        <v>6</v>
      </c>
      <c r="F28" s="5" t="n">
        <v>5</v>
      </c>
      <c r="G28" s="5" t="n">
        <v>0</v>
      </c>
      <c r="H28" s="5" t="n">
        <v>0</v>
      </c>
      <c r="I28" s="5" t="n">
        <v>27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21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8" t="n">
        <f aca="false">IF(D28&gt;0,C28/D28,"")</f>
        <v>1.36507936507937</v>
      </c>
      <c r="U28" s="6" t="n">
        <f aca="false">IF(C28&gt;0,F28/C28,"")</f>
        <v>0.0581395348837209</v>
      </c>
      <c r="V28" s="4" t="n">
        <f aca="false">IF(C28&gt;0,B28/C28*1000,"")</f>
        <v>48.4883720930233</v>
      </c>
      <c r="W28" s="4" t="n">
        <f aca="false">IF(F28&gt;0,B28/F28,"")</f>
        <v>0.834</v>
      </c>
      <c r="X28" s="4" t="str">
        <f aca="false">IF(H28&gt;0,B28/H28,"")</f>
        <v/>
      </c>
      <c r="Y28" s="7" t="n">
        <f aca="false">IF(F28&gt;0,G28/F28,"")</f>
        <v>0</v>
      </c>
      <c r="Z28" s="7" t="str">
        <f aca="false">IF(G28&gt;0,H28/G28,"")</f>
        <v/>
      </c>
      <c r="AA28" s="6" t="n">
        <f aca="false">IF(C28&gt;0,I28/C28,"")</f>
        <v>0.313953488372093</v>
      </c>
      <c r="AB28" s="7" t="n">
        <f aca="false">IF(C28&gt;0,N28/C28,"")</f>
        <v>0.244186046511628</v>
      </c>
      <c r="AC28" s="7" t="n">
        <f aca="false">IF(N28&gt;0,R28/N28,"")</f>
        <v>0</v>
      </c>
    </row>
    <row r="29" customFormat="false" ht="15" hidden="false" customHeight="false" outlineLevel="0" collapsed="false">
      <c r="A29" s="2" t="s">
        <v>103</v>
      </c>
      <c r="B29" s="4" t="n">
        <v>3.93</v>
      </c>
      <c r="C29" s="5" t="n">
        <v>57</v>
      </c>
      <c r="D29" s="5" t="n">
        <v>33</v>
      </c>
      <c r="E29" s="5" t="n">
        <v>6</v>
      </c>
      <c r="F29" s="5" t="n">
        <v>4</v>
      </c>
      <c r="G29" s="5" t="n">
        <v>0</v>
      </c>
      <c r="H29" s="5" t="n">
        <v>0</v>
      </c>
      <c r="I29" s="5" t="n">
        <v>21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17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8" t="n">
        <f aca="false">IF(D29&gt;0,C29/D29,"")</f>
        <v>1.72727272727273</v>
      </c>
      <c r="U29" s="6" t="n">
        <f aca="false">IF(C29&gt;0,F29/C29,"")</f>
        <v>0.0701754385964912</v>
      </c>
      <c r="V29" s="4" t="n">
        <f aca="false">IF(C29&gt;0,B29/C29*1000,"")</f>
        <v>68.9473684210526</v>
      </c>
      <c r="W29" s="4" t="n">
        <f aca="false">IF(F29&gt;0,B29/F29,"")</f>
        <v>0.9825</v>
      </c>
      <c r="X29" s="4" t="str">
        <f aca="false">IF(H29&gt;0,B29/H29,"")</f>
        <v/>
      </c>
      <c r="Y29" s="7" t="n">
        <f aca="false">IF(F29&gt;0,G29/F29,"")</f>
        <v>0</v>
      </c>
      <c r="Z29" s="7" t="str">
        <f aca="false">IF(G29&gt;0,H29/G29,"")</f>
        <v/>
      </c>
      <c r="AA29" s="6" t="n">
        <f aca="false">IF(C29&gt;0,I29/C29,"")</f>
        <v>0.368421052631579</v>
      </c>
      <c r="AB29" s="7" t="n">
        <f aca="false">IF(C29&gt;0,N29/C29,"")</f>
        <v>0.298245614035088</v>
      </c>
      <c r="AC29" s="7" t="n">
        <f aca="false">IF(N29&gt;0,R29/N29,"")</f>
        <v>0</v>
      </c>
    </row>
    <row r="30" customFormat="false" ht="15" hidden="false" customHeight="false" outlineLevel="0" collapsed="false">
      <c r="A30" s="2" t="s">
        <v>104</v>
      </c>
      <c r="B30" s="4" t="n">
        <v>3.87</v>
      </c>
      <c r="C30" s="5" t="n">
        <v>70</v>
      </c>
      <c r="D30" s="5" t="n">
        <v>45</v>
      </c>
      <c r="E30" s="5" t="n">
        <v>6</v>
      </c>
      <c r="F30" s="5" t="n">
        <v>3</v>
      </c>
      <c r="G30" s="5" t="n">
        <v>0</v>
      </c>
      <c r="H30" s="5" t="n">
        <v>0</v>
      </c>
      <c r="I30" s="5" t="n">
        <v>18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15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8" t="n">
        <f aca="false">IF(D30&gt;0,C30/D30,"")</f>
        <v>1.55555555555556</v>
      </c>
      <c r="U30" s="6" t="n">
        <f aca="false">IF(C30&gt;0,F30/C30,"")</f>
        <v>0.0428571428571429</v>
      </c>
      <c r="V30" s="4" t="n">
        <f aca="false">IF(C30&gt;0,B30/C30*1000,"")</f>
        <v>55.2857142857143</v>
      </c>
      <c r="W30" s="4" t="n">
        <f aca="false">IF(F30&gt;0,B30/F30,"")</f>
        <v>1.29</v>
      </c>
      <c r="X30" s="4" t="str">
        <f aca="false">IF(H30&gt;0,B30/H30,"")</f>
        <v/>
      </c>
      <c r="Y30" s="7" t="n">
        <f aca="false">IF(F30&gt;0,G30/F30,"")</f>
        <v>0</v>
      </c>
      <c r="Z30" s="7" t="str">
        <f aca="false">IF(G30&gt;0,H30/G30,"")</f>
        <v/>
      </c>
      <c r="AA30" s="6" t="n">
        <f aca="false">IF(C30&gt;0,I30/C30,"")</f>
        <v>0.257142857142857</v>
      </c>
      <c r="AB30" s="7" t="n">
        <f aca="false">IF(C30&gt;0,N30/C30,"")</f>
        <v>0.214285714285714</v>
      </c>
      <c r="AC30" s="7" t="n">
        <f aca="false">IF(N30&gt;0,R30/N30,"")</f>
        <v>0</v>
      </c>
    </row>
    <row r="31" customFormat="false" ht="15" hidden="false" customHeight="false" outlineLevel="0" collapsed="false">
      <c r="A31" s="2" t="s">
        <v>105</v>
      </c>
      <c r="B31" s="4" t="n">
        <v>3.46</v>
      </c>
      <c r="C31" s="5" t="n">
        <v>29</v>
      </c>
      <c r="D31" s="5" t="n">
        <v>19</v>
      </c>
      <c r="E31" s="5" t="n">
        <v>3</v>
      </c>
      <c r="F31" s="5" t="n">
        <v>2</v>
      </c>
      <c r="G31" s="5" t="n">
        <v>0</v>
      </c>
      <c r="H31" s="5" t="n">
        <v>0</v>
      </c>
      <c r="I31" s="5" t="n">
        <v>13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8" t="n">
        <f aca="false">IF(D31&gt;0,C31/D31,"")</f>
        <v>1.52631578947368</v>
      </c>
      <c r="U31" s="6" t="n">
        <f aca="false">IF(C31&gt;0,F31/C31,"")</f>
        <v>0.0689655172413793</v>
      </c>
      <c r="V31" s="4" t="n">
        <f aca="false">IF(C31&gt;0,B31/C31*1000,"")</f>
        <v>119.310344827586</v>
      </c>
      <c r="W31" s="4" t="n">
        <f aca="false">IF(F31&gt;0,B31/F31,"")</f>
        <v>1.73</v>
      </c>
      <c r="X31" s="4" t="str">
        <f aca="false">IF(H31&gt;0,B31/H31,"")</f>
        <v/>
      </c>
      <c r="Y31" s="7" t="n">
        <f aca="false">IF(F31&gt;0,G31/F31,"")</f>
        <v>0</v>
      </c>
      <c r="Z31" s="7" t="str">
        <f aca="false">IF(G31&gt;0,H31/G31,"")</f>
        <v/>
      </c>
      <c r="AA31" s="6" t="n">
        <f aca="false">IF(C31&gt;0,I31/C31,"")</f>
        <v>0.448275862068966</v>
      </c>
      <c r="AB31" s="7" t="n">
        <f aca="false">IF(C31&gt;0,N31/C31,"")</f>
        <v>0.379310344827586</v>
      </c>
      <c r="AC31" s="7" t="n">
        <f aca="false">IF(N31&gt;0,R31/N31,"")</f>
        <v>0</v>
      </c>
    </row>
    <row r="32" customFormat="false" ht="15" hidden="false" customHeight="false" outlineLevel="0" collapsed="false">
      <c r="A32" s="2" t="s">
        <v>106</v>
      </c>
      <c r="B32" s="4" t="n">
        <v>3.22</v>
      </c>
      <c r="C32" s="5" t="n">
        <v>48</v>
      </c>
      <c r="D32" s="5" t="n">
        <v>34</v>
      </c>
      <c r="E32" s="5" t="n">
        <v>2</v>
      </c>
      <c r="F32" s="5" t="n">
        <v>2</v>
      </c>
      <c r="G32" s="5" t="n">
        <v>0</v>
      </c>
      <c r="H32" s="5" t="n">
        <v>0</v>
      </c>
      <c r="I32" s="5" t="n">
        <v>13</v>
      </c>
      <c r="J32" s="5" t="n">
        <v>1</v>
      </c>
      <c r="K32" s="5" t="n">
        <v>0</v>
      </c>
      <c r="L32" s="5" t="n">
        <v>0</v>
      </c>
      <c r="M32" s="5" t="n">
        <v>0</v>
      </c>
      <c r="N32" s="5" t="n">
        <v>10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8" t="n">
        <f aca="false">IF(D32&gt;0,C32/D32,"")</f>
        <v>1.41176470588235</v>
      </c>
      <c r="U32" s="6" t="n">
        <f aca="false">IF(C32&gt;0,F32/C32,"")</f>
        <v>0.0416666666666667</v>
      </c>
      <c r="V32" s="4" t="n">
        <f aca="false">IF(C32&gt;0,B32/C32*1000,"")</f>
        <v>67.0833333333333</v>
      </c>
      <c r="W32" s="4" t="n">
        <f aca="false">IF(F32&gt;0,B32/F32,"")</f>
        <v>1.61</v>
      </c>
      <c r="X32" s="4" t="str">
        <f aca="false">IF(H32&gt;0,B32/H32,"")</f>
        <v/>
      </c>
      <c r="Y32" s="7" t="n">
        <f aca="false">IF(F32&gt;0,G32/F32,"")</f>
        <v>0</v>
      </c>
      <c r="Z32" s="7" t="str">
        <f aca="false">IF(G32&gt;0,H32/G32,"")</f>
        <v/>
      </c>
      <c r="AA32" s="6" t="n">
        <f aca="false">IF(C32&gt;0,I32/C32,"")</f>
        <v>0.270833333333333</v>
      </c>
      <c r="AB32" s="7" t="n">
        <f aca="false">IF(C32&gt;0,N32/C32,"")</f>
        <v>0.208333333333333</v>
      </c>
      <c r="AC32" s="7" t="n">
        <f aca="false">IF(N32&gt;0,R32/N32,"")</f>
        <v>0</v>
      </c>
    </row>
    <row r="33" customFormat="false" ht="15" hidden="false" customHeight="false" outlineLevel="0" collapsed="false">
      <c r="A33" s="2" t="s">
        <v>107</v>
      </c>
      <c r="B33" s="4" t="n">
        <v>3.12</v>
      </c>
      <c r="C33" s="5" t="n">
        <v>40</v>
      </c>
      <c r="D33" s="5" t="n">
        <v>21</v>
      </c>
      <c r="E33" s="5" t="n">
        <v>5</v>
      </c>
      <c r="F33" s="5" t="n">
        <v>3</v>
      </c>
      <c r="G33" s="5" t="n">
        <v>0</v>
      </c>
      <c r="H33" s="5" t="n">
        <v>0</v>
      </c>
      <c r="I33" s="5" t="n">
        <v>16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13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8" t="n">
        <f aca="false">IF(D33&gt;0,C33/D33,"")</f>
        <v>1.9047619047619</v>
      </c>
      <c r="U33" s="6" t="n">
        <f aca="false">IF(C33&gt;0,F33/C33,"")</f>
        <v>0.075</v>
      </c>
      <c r="V33" s="4" t="n">
        <f aca="false">IF(C33&gt;0,B33/C33*1000,"")</f>
        <v>78</v>
      </c>
      <c r="W33" s="4" t="n">
        <f aca="false">IF(F33&gt;0,B33/F33,"")</f>
        <v>1.04</v>
      </c>
      <c r="X33" s="4" t="str">
        <f aca="false">IF(H33&gt;0,B33/H33,"")</f>
        <v/>
      </c>
      <c r="Y33" s="7" t="n">
        <f aca="false">IF(F33&gt;0,G33/F33,"")</f>
        <v>0</v>
      </c>
      <c r="Z33" s="7" t="str">
        <f aca="false">IF(G33&gt;0,H33/G33,"")</f>
        <v/>
      </c>
      <c r="AA33" s="6" t="n">
        <f aca="false">IF(C33&gt;0,I33/C33,"")</f>
        <v>0.4</v>
      </c>
      <c r="AB33" s="7" t="n">
        <f aca="false">IF(C33&gt;0,N33/C33,"")</f>
        <v>0.325</v>
      </c>
      <c r="AC33" s="7" t="n">
        <f aca="false">IF(N33&gt;0,R33/N33,"")</f>
        <v>0</v>
      </c>
    </row>
    <row r="34" customFormat="false" ht="15" hidden="false" customHeight="false" outlineLevel="0" collapsed="false">
      <c r="A34" s="2" t="s">
        <v>108</v>
      </c>
      <c r="B34" s="4" t="n">
        <v>2.27</v>
      </c>
      <c r="C34" s="5" t="n">
        <v>9</v>
      </c>
      <c r="D34" s="5" t="n">
        <v>5</v>
      </c>
      <c r="E34" s="5" t="n">
        <v>1</v>
      </c>
      <c r="F34" s="5" t="n">
        <v>1</v>
      </c>
      <c r="G34" s="5" t="n">
        <v>0</v>
      </c>
      <c r="H34" s="5" t="n">
        <v>0</v>
      </c>
      <c r="I34" s="5" t="n">
        <v>2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8" t="n">
        <f aca="false">IF(D34&gt;0,C34/D34,"")</f>
        <v>1.8</v>
      </c>
      <c r="U34" s="6" t="n">
        <f aca="false">IF(C34&gt;0,F34/C34,"")</f>
        <v>0.111111111111111</v>
      </c>
      <c r="V34" s="4" t="n">
        <f aca="false">IF(C34&gt;0,B34/C34*1000,"")</f>
        <v>252.222222222222</v>
      </c>
      <c r="W34" s="4" t="n">
        <f aca="false">IF(F34&gt;0,B34/F34,"")</f>
        <v>2.27</v>
      </c>
      <c r="X34" s="4" t="str">
        <f aca="false">IF(H34&gt;0,B34/H34,"")</f>
        <v/>
      </c>
      <c r="Y34" s="7" t="n">
        <f aca="false">IF(F34&gt;0,G34/F34,"")</f>
        <v>0</v>
      </c>
      <c r="Z34" s="7" t="str">
        <f aca="false">IF(G34&gt;0,H34/G34,"")</f>
        <v/>
      </c>
      <c r="AA34" s="6" t="n">
        <f aca="false">IF(C34&gt;0,I34/C34,"")</f>
        <v>0.222222222222222</v>
      </c>
      <c r="AB34" s="7" t="n">
        <f aca="false">IF(C34&gt;0,N34/C34,"")</f>
        <v>0.111111111111111</v>
      </c>
      <c r="AC34" s="7" t="n">
        <f aca="false">IF(N34&gt;0,R34/N34,"")</f>
        <v>0</v>
      </c>
    </row>
    <row r="35" customFormat="false" ht="15" hidden="false" customHeight="false" outlineLevel="0" collapsed="false">
      <c r="A35" s="2" t="s">
        <v>109</v>
      </c>
      <c r="B35" s="4" t="n">
        <v>1.95</v>
      </c>
      <c r="C35" s="5" t="n">
        <v>18</v>
      </c>
      <c r="D35" s="5" t="n">
        <v>12</v>
      </c>
      <c r="E35" s="5" t="n">
        <v>1</v>
      </c>
      <c r="F35" s="5" t="n">
        <v>1</v>
      </c>
      <c r="G35" s="5" t="n">
        <v>0</v>
      </c>
      <c r="H35" s="5" t="n">
        <v>0</v>
      </c>
      <c r="I35" s="5" t="n">
        <v>10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9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8" t="n">
        <f aca="false">IF(D35&gt;0,C35/D35,"")</f>
        <v>1.5</v>
      </c>
      <c r="U35" s="6" t="n">
        <f aca="false">IF(C35&gt;0,F35/C35,"")</f>
        <v>0.0555555555555556</v>
      </c>
      <c r="V35" s="4" t="n">
        <f aca="false">IF(C35&gt;0,B35/C35*1000,"")</f>
        <v>108.333333333333</v>
      </c>
      <c r="W35" s="4" t="n">
        <f aca="false">IF(F35&gt;0,B35/F35,"")</f>
        <v>1.95</v>
      </c>
      <c r="X35" s="4" t="str">
        <f aca="false">IF(H35&gt;0,B35/H35,"")</f>
        <v/>
      </c>
      <c r="Y35" s="7" t="n">
        <f aca="false">IF(F35&gt;0,G35/F35,"")</f>
        <v>0</v>
      </c>
      <c r="Z35" s="7" t="str">
        <f aca="false">IF(G35&gt;0,H35/G35,"")</f>
        <v/>
      </c>
      <c r="AA35" s="6" t="n">
        <f aca="false">IF(C35&gt;0,I35/C35,"")</f>
        <v>0.555555555555556</v>
      </c>
      <c r="AB35" s="7" t="n">
        <f aca="false">IF(C35&gt;0,N35/C35,"")</f>
        <v>0.5</v>
      </c>
      <c r="AC35" s="7" t="n">
        <f aca="false">IF(N35&gt;0,R35/N35,"")</f>
        <v>0</v>
      </c>
    </row>
    <row r="36" customFormat="false" ht="15" hidden="false" customHeight="false" outlineLevel="0" collapsed="false">
      <c r="A36" s="2" t="s">
        <v>110</v>
      </c>
      <c r="B36" s="4" t="n">
        <v>1.58</v>
      </c>
      <c r="C36" s="5" t="n">
        <v>30</v>
      </c>
      <c r="D36" s="5" t="n">
        <v>18</v>
      </c>
      <c r="E36" s="5" t="n">
        <v>1</v>
      </c>
      <c r="F36" s="5" t="n">
        <v>1</v>
      </c>
      <c r="G36" s="5" t="n">
        <v>0</v>
      </c>
      <c r="H36" s="5" t="n">
        <v>0</v>
      </c>
      <c r="I36" s="5" t="n">
        <v>4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3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8" t="n">
        <f aca="false">IF(D36&gt;0,C36/D36,"")</f>
        <v>1.66666666666667</v>
      </c>
      <c r="U36" s="6" t="n">
        <f aca="false">IF(C36&gt;0,F36/C36,"")</f>
        <v>0.0333333333333333</v>
      </c>
      <c r="V36" s="4" t="n">
        <f aca="false">IF(C36&gt;0,B36/C36*1000,"")</f>
        <v>52.6666666666667</v>
      </c>
      <c r="W36" s="4" t="n">
        <f aca="false">IF(F36&gt;0,B36/F36,"")</f>
        <v>1.58</v>
      </c>
      <c r="X36" s="4" t="str">
        <f aca="false">IF(H36&gt;0,B36/H36,"")</f>
        <v/>
      </c>
      <c r="Y36" s="7" t="n">
        <f aca="false">IF(F36&gt;0,G36/F36,"")</f>
        <v>0</v>
      </c>
      <c r="Z36" s="7" t="str">
        <f aca="false">IF(G36&gt;0,H36/G36,"")</f>
        <v/>
      </c>
      <c r="AA36" s="6" t="n">
        <f aca="false">IF(C36&gt;0,I36/C36,"")</f>
        <v>0.133333333333333</v>
      </c>
      <c r="AB36" s="7" t="n">
        <f aca="false">IF(C36&gt;0,N36/C36,"")</f>
        <v>0.1</v>
      </c>
      <c r="AC36" s="7" t="n">
        <f aca="false">IF(N36&gt;0,R36/N36,"")</f>
        <v>0</v>
      </c>
    </row>
    <row r="37" customFormat="false" ht="15" hidden="false" customHeight="false" outlineLevel="0" collapsed="false">
      <c r="A37" s="2" t="s">
        <v>111</v>
      </c>
      <c r="B37" s="4" t="n">
        <v>1.29</v>
      </c>
      <c r="C37" s="5" t="n">
        <v>15</v>
      </c>
      <c r="D37" s="5" t="n">
        <v>9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9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9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8" t="n">
        <f aca="false">IF(D37&gt;0,C37/D37,"")</f>
        <v>1.66666666666667</v>
      </c>
      <c r="U37" s="6" t="n">
        <f aca="false">IF(C37&gt;0,F37/C37,"")</f>
        <v>0</v>
      </c>
      <c r="V37" s="4" t="n">
        <f aca="false">IF(C37&gt;0,B37/C37*1000,"")</f>
        <v>86</v>
      </c>
      <c r="W37" s="4" t="str">
        <f aca="false">IF(F37&gt;0,B37/F37,"")</f>
        <v/>
      </c>
      <c r="X37" s="4" t="str">
        <f aca="false">IF(H37&gt;0,B37/H37,"")</f>
        <v/>
      </c>
      <c r="Y37" s="7" t="str">
        <f aca="false">IF(F37&gt;0,G37/F37,"")</f>
        <v/>
      </c>
      <c r="Z37" s="7" t="str">
        <f aca="false">IF(G37&gt;0,H37/G37,"")</f>
        <v/>
      </c>
      <c r="AA37" s="6" t="n">
        <f aca="false">IF(C37&gt;0,I37/C37,"")</f>
        <v>0.6</v>
      </c>
      <c r="AB37" s="7" t="n">
        <f aca="false">IF(C37&gt;0,N37/C37,"")</f>
        <v>0.6</v>
      </c>
      <c r="AC37" s="7" t="n">
        <f aca="false">IF(N37&gt;0,R37/N37,"")</f>
        <v>0</v>
      </c>
    </row>
    <row r="38" customFormat="false" ht="15" hidden="false" customHeight="false" outlineLevel="0" collapsed="false">
      <c r="A38" s="2" t="s">
        <v>112</v>
      </c>
      <c r="B38" s="4" t="n">
        <v>1.15</v>
      </c>
      <c r="C38" s="5" t="n">
        <v>16</v>
      </c>
      <c r="D38" s="5" t="n">
        <v>12</v>
      </c>
      <c r="E38" s="5" t="n">
        <v>1</v>
      </c>
      <c r="F38" s="5" t="n">
        <v>2</v>
      </c>
      <c r="G38" s="5" t="n">
        <v>0</v>
      </c>
      <c r="H38" s="5" t="n">
        <v>0</v>
      </c>
      <c r="I38" s="5" t="n">
        <v>8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6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8" t="n">
        <f aca="false">IF(D38&gt;0,C38/D38,"")</f>
        <v>1.33333333333333</v>
      </c>
      <c r="U38" s="6" t="n">
        <f aca="false">IF(C38&gt;0,F38/C38,"")</f>
        <v>0.125</v>
      </c>
      <c r="V38" s="4" t="n">
        <f aca="false">IF(C38&gt;0,B38/C38*1000,"")</f>
        <v>71.875</v>
      </c>
      <c r="W38" s="4" t="n">
        <f aca="false">IF(F38&gt;0,B38/F38,"")</f>
        <v>0.575</v>
      </c>
      <c r="X38" s="4" t="str">
        <f aca="false">IF(H38&gt;0,B38/H38,"")</f>
        <v/>
      </c>
      <c r="Y38" s="7" t="n">
        <f aca="false">IF(F38&gt;0,G38/F38,"")</f>
        <v>0</v>
      </c>
      <c r="Z38" s="7" t="str">
        <f aca="false">IF(G38&gt;0,H38/G38,"")</f>
        <v/>
      </c>
      <c r="AA38" s="6" t="n">
        <f aca="false">IF(C38&gt;0,I38/C38,"")</f>
        <v>0.5</v>
      </c>
      <c r="AB38" s="7" t="n">
        <f aca="false">IF(C38&gt;0,N38/C38,"")</f>
        <v>0.375</v>
      </c>
      <c r="AC38" s="7" t="n">
        <f aca="false">IF(N38&gt;0,R38/N38,"")</f>
        <v>0</v>
      </c>
    </row>
    <row r="39" customFormat="false" ht="15" hidden="false" customHeight="false" outlineLevel="0" collapsed="false">
      <c r="A39" s="2" t="s">
        <v>113</v>
      </c>
      <c r="B39" s="4" t="n">
        <v>1.12</v>
      </c>
      <c r="C39" s="5" t="n">
        <v>9</v>
      </c>
      <c r="D39" s="5" t="n">
        <v>6</v>
      </c>
      <c r="E39" s="5" t="n">
        <v>1</v>
      </c>
      <c r="F39" s="5" t="n">
        <v>1</v>
      </c>
      <c r="G39" s="5" t="n">
        <v>0</v>
      </c>
      <c r="H39" s="5" t="n">
        <v>0</v>
      </c>
      <c r="I39" s="5" t="n">
        <v>4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3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8" t="n">
        <f aca="false">IF(D39&gt;0,C39/D39,"")</f>
        <v>1.5</v>
      </c>
      <c r="U39" s="6" t="n">
        <f aca="false">IF(C39&gt;0,F39/C39,"")</f>
        <v>0.111111111111111</v>
      </c>
      <c r="V39" s="4" t="n">
        <f aca="false">IF(C39&gt;0,B39/C39*1000,"")</f>
        <v>124.444444444444</v>
      </c>
      <c r="W39" s="4" t="n">
        <f aca="false">IF(F39&gt;0,B39/F39,"")</f>
        <v>1.12</v>
      </c>
      <c r="X39" s="4" t="str">
        <f aca="false">IF(H39&gt;0,B39/H39,"")</f>
        <v/>
      </c>
      <c r="Y39" s="7" t="n">
        <f aca="false">IF(F39&gt;0,G39/F39,"")</f>
        <v>0</v>
      </c>
      <c r="Z39" s="7" t="str">
        <f aca="false">IF(G39&gt;0,H39/G39,"")</f>
        <v/>
      </c>
      <c r="AA39" s="6" t="n">
        <f aca="false">IF(C39&gt;0,I39/C39,"")</f>
        <v>0.444444444444444</v>
      </c>
      <c r="AB39" s="7" t="n">
        <f aca="false">IF(C39&gt;0,N39/C39,"")</f>
        <v>0.333333333333333</v>
      </c>
      <c r="AC39" s="7" t="n">
        <f aca="false">IF(N39&gt;0,R39/N39,"")</f>
        <v>0</v>
      </c>
    </row>
    <row r="40" customFormat="false" ht="15" hidden="false" customHeight="false" outlineLevel="0" collapsed="false">
      <c r="A40" s="2" t="s">
        <v>114</v>
      </c>
      <c r="B40" s="4" t="n">
        <v>1.02</v>
      </c>
      <c r="C40" s="5" t="n">
        <v>9</v>
      </c>
      <c r="D40" s="5" t="n">
        <v>4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1</v>
      </c>
      <c r="J40" s="5" t="n">
        <v>0</v>
      </c>
      <c r="K40" s="5" t="n">
        <v>0</v>
      </c>
      <c r="L40" s="5" t="n">
        <v>0</v>
      </c>
      <c r="M40" s="5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8" t="n">
        <f aca="false">IF(D40&gt;0,C40/D40,"")</f>
        <v>2.25</v>
      </c>
      <c r="U40" s="6" t="n">
        <f aca="false">IF(C40&gt;0,F40/C40,"")</f>
        <v>0</v>
      </c>
      <c r="V40" s="4" t="n">
        <f aca="false">IF(C40&gt;0,B40/C40*1000,"")</f>
        <v>113.333333333333</v>
      </c>
      <c r="W40" s="4" t="str">
        <f aca="false">IF(F40&gt;0,B40/F40,"")</f>
        <v/>
      </c>
      <c r="X40" s="4" t="str">
        <f aca="false">IF(H40&gt;0,B40/H40,"")</f>
        <v/>
      </c>
      <c r="Y40" s="7" t="str">
        <f aca="false">IF(F40&gt;0,G40/F40,"")</f>
        <v/>
      </c>
      <c r="Z40" s="7" t="str">
        <f aca="false">IF(G40&gt;0,H40/G40,"")</f>
        <v/>
      </c>
      <c r="AA40" s="6" t="n">
        <f aca="false">IF(C40&gt;0,I40/C40,"")</f>
        <v>0.111111111111111</v>
      </c>
      <c r="AB40" s="7" t="n">
        <f aca="false">IF(C40&gt;0,N40/C40,"")</f>
        <v>0</v>
      </c>
      <c r="AC40" s="7" t="str">
        <f aca="false">IF(N40&gt;0,R40/N40,"")</f>
        <v/>
      </c>
    </row>
    <row r="41" customFormat="false" ht="15" hidden="false" customHeight="false" outlineLevel="0" collapsed="false">
      <c r="A41" s="2" t="s">
        <v>115</v>
      </c>
      <c r="B41" s="4" t="n">
        <v>1.01</v>
      </c>
      <c r="C41" s="5" t="n">
        <v>19</v>
      </c>
      <c r="D41" s="5" t="n">
        <v>16</v>
      </c>
      <c r="E41" s="5" t="n">
        <v>1</v>
      </c>
      <c r="F41" s="5" t="n">
        <v>1</v>
      </c>
      <c r="G41" s="5" t="n">
        <v>0</v>
      </c>
      <c r="H41" s="5" t="n">
        <v>0</v>
      </c>
      <c r="I41" s="5" t="n">
        <v>9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8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8" t="n">
        <f aca="false">IF(D41&gt;0,C41/D41,"")</f>
        <v>1.1875</v>
      </c>
      <c r="U41" s="6" t="n">
        <f aca="false">IF(C41&gt;0,F41/C41,"")</f>
        <v>0.0526315789473684</v>
      </c>
      <c r="V41" s="4" t="n">
        <f aca="false">IF(C41&gt;0,B41/C41*1000,"")</f>
        <v>53.1578947368421</v>
      </c>
      <c r="W41" s="4" t="n">
        <f aca="false">IF(F41&gt;0,B41/F41,"")</f>
        <v>1.01</v>
      </c>
      <c r="X41" s="4" t="str">
        <f aca="false">IF(H41&gt;0,B41/H41,"")</f>
        <v/>
      </c>
      <c r="Y41" s="7" t="n">
        <f aca="false">IF(F41&gt;0,G41/F41,"")</f>
        <v>0</v>
      </c>
      <c r="Z41" s="7" t="str">
        <f aca="false">IF(G41&gt;0,H41/G41,"")</f>
        <v/>
      </c>
      <c r="AA41" s="6" t="n">
        <f aca="false">IF(C41&gt;0,I41/C41,"")</f>
        <v>0.473684210526316</v>
      </c>
      <c r="AB41" s="7" t="n">
        <f aca="false">IF(C41&gt;0,N41/C41,"")</f>
        <v>0.421052631578947</v>
      </c>
      <c r="AC41" s="7" t="n">
        <f aca="false">IF(N41&gt;0,R41/N41,"")</f>
        <v>0</v>
      </c>
    </row>
    <row r="42" customFormat="false" ht="15" hidden="false" customHeight="false" outlineLevel="0" collapsed="false">
      <c r="A42" s="2" t="s">
        <v>116</v>
      </c>
      <c r="B42" s="4" t="n">
        <v>0.93</v>
      </c>
      <c r="C42" s="5" t="n">
        <v>22</v>
      </c>
      <c r="D42" s="5" t="n">
        <v>13</v>
      </c>
      <c r="E42" s="5" t="n">
        <v>5</v>
      </c>
      <c r="F42" s="5" t="n">
        <v>9</v>
      </c>
      <c r="G42" s="5" t="n">
        <v>0</v>
      </c>
      <c r="H42" s="5" t="n">
        <v>0</v>
      </c>
      <c r="I42" s="5" t="n">
        <v>19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8" t="n">
        <f aca="false">IF(D42&gt;0,C42/D42,"")</f>
        <v>1.69230769230769</v>
      </c>
      <c r="U42" s="6" t="n">
        <f aca="false">IF(C42&gt;0,F42/C42,"")</f>
        <v>0.409090909090909</v>
      </c>
      <c r="V42" s="4" t="n">
        <f aca="false">IF(C42&gt;0,B42/C42*1000,"")</f>
        <v>42.2727272727273</v>
      </c>
      <c r="W42" s="4" t="n">
        <f aca="false">IF(F42&gt;0,B42/F42,"")</f>
        <v>0.103333333333333</v>
      </c>
      <c r="X42" s="4" t="str">
        <f aca="false">IF(H42&gt;0,B42/H42,"")</f>
        <v/>
      </c>
      <c r="Y42" s="7" t="n">
        <f aca="false">IF(F42&gt;0,G42/F42,"")</f>
        <v>0</v>
      </c>
      <c r="Z42" s="7" t="str">
        <f aca="false">IF(G42&gt;0,H42/G42,"")</f>
        <v/>
      </c>
      <c r="AA42" s="6" t="n">
        <f aca="false">IF(C42&gt;0,I42/C42,"")</f>
        <v>0.863636363636364</v>
      </c>
      <c r="AB42" s="7" t="n">
        <f aca="false">IF(C42&gt;0,N42/C42,"")</f>
        <v>0.454545454545455</v>
      </c>
      <c r="AC42" s="7" t="n">
        <f aca="false">IF(N42&gt;0,R42/N42,"")</f>
        <v>0</v>
      </c>
    </row>
    <row r="43" customFormat="false" ht="15" hidden="false" customHeight="false" outlineLevel="0" collapsed="false">
      <c r="A43" s="2" t="s">
        <v>117</v>
      </c>
      <c r="B43" s="4" t="n">
        <v>0.76</v>
      </c>
      <c r="C43" s="5" t="n">
        <v>18</v>
      </c>
      <c r="D43" s="5" t="n">
        <v>11</v>
      </c>
      <c r="E43" s="5" t="n">
        <v>1</v>
      </c>
      <c r="F43" s="5" t="n">
        <v>3</v>
      </c>
      <c r="G43" s="5" t="n">
        <v>0</v>
      </c>
      <c r="H43" s="5" t="n">
        <v>0</v>
      </c>
      <c r="I43" s="5" t="n">
        <v>7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4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8" t="n">
        <f aca="false">IF(D43&gt;0,C43/D43,"")</f>
        <v>1.63636363636364</v>
      </c>
      <c r="U43" s="6" t="n">
        <f aca="false">IF(C43&gt;0,F43/C43,"")</f>
        <v>0.166666666666667</v>
      </c>
      <c r="V43" s="4" t="n">
        <f aca="false">IF(C43&gt;0,B43/C43*1000,"")</f>
        <v>42.2222222222222</v>
      </c>
      <c r="W43" s="4" t="n">
        <f aca="false">IF(F43&gt;0,B43/F43,"")</f>
        <v>0.253333333333333</v>
      </c>
      <c r="X43" s="4" t="str">
        <f aca="false">IF(H43&gt;0,B43/H43,"")</f>
        <v/>
      </c>
      <c r="Y43" s="7" t="n">
        <f aca="false">IF(F43&gt;0,G43/F43,"")</f>
        <v>0</v>
      </c>
      <c r="Z43" s="7" t="str">
        <f aca="false">IF(G43&gt;0,H43/G43,"")</f>
        <v/>
      </c>
      <c r="AA43" s="6" t="n">
        <f aca="false">IF(C43&gt;0,I43/C43,"")</f>
        <v>0.388888888888889</v>
      </c>
      <c r="AB43" s="7" t="n">
        <f aca="false">IF(C43&gt;0,N43/C43,"")</f>
        <v>0.222222222222222</v>
      </c>
      <c r="AC43" s="7" t="n">
        <f aca="false">IF(N43&gt;0,R43/N43,"")</f>
        <v>0</v>
      </c>
    </row>
    <row r="44" customFormat="false" ht="15" hidden="false" customHeight="false" outlineLevel="0" collapsed="false">
      <c r="A44" s="2" t="s">
        <v>118</v>
      </c>
      <c r="B44" s="4" t="n">
        <v>0.7</v>
      </c>
      <c r="C44" s="5" t="n">
        <v>12</v>
      </c>
      <c r="D44" s="5" t="n">
        <v>6</v>
      </c>
      <c r="E44" s="5" t="n">
        <v>1</v>
      </c>
      <c r="F44" s="5" t="n">
        <v>1</v>
      </c>
      <c r="G44" s="5" t="n">
        <v>0</v>
      </c>
      <c r="H44" s="5" t="n">
        <v>0</v>
      </c>
      <c r="I44" s="5" t="n">
        <v>2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8" t="n">
        <f aca="false">IF(D44&gt;0,C44/D44,"")</f>
        <v>2</v>
      </c>
      <c r="U44" s="6" t="n">
        <f aca="false">IF(C44&gt;0,F44/C44,"")</f>
        <v>0.0833333333333333</v>
      </c>
      <c r="V44" s="4" t="n">
        <f aca="false">IF(C44&gt;0,B44/C44*1000,"")</f>
        <v>58.3333333333333</v>
      </c>
      <c r="W44" s="4" t="n">
        <f aca="false">IF(F44&gt;0,B44/F44,"")</f>
        <v>0.7</v>
      </c>
      <c r="X44" s="4" t="str">
        <f aca="false">IF(H44&gt;0,B44/H44,"")</f>
        <v/>
      </c>
      <c r="Y44" s="7" t="n">
        <f aca="false">IF(F44&gt;0,G44/F44,"")</f>
        <v>0</v>
      </c>
      <c r="Z44" s="7" t="str">
        <f aca="false">IF(G44&gt;0,H44/G44,"")</f>
        <v/>
      </c>
      <c r="AA44" s="6" t="n">
        <f aca="false">IF(C44&gt;0,I44/C44,"")</f>
        <v>0.166666666666667</v>
      </c>
      <c r="AB44" s="7" t="n">
        <f aca="false">IF(C44&gt;0,N44/C44,"")</f>
        <v>0.0833333333333333</v>
      </c>
      <c r="AC44" s="7" t="n">
        <f aca="false">IF(N44&gt;0,R44/N44,"")</f>
        <v>0</v>
      </c>
    </row>
    <row r="45" customFormat="false" ht="15" hidden="false" customHeight="false" outlineLevel="0" collapsed="false">
      <c r="A45" s="2" t="s">
        <v>119</v>
      </c>
      <c r="B45" s="4" t="n">
        <v>0.62</v>
      </c>
      <c r="C45" s="5" t="n">
        <v>10</v>
      </c>
      <c r="D45" s="5" t="n">
        <v>10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3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8" t="n">
        <f aca="false">IF(D45&gt;0,C45/D45,"")</f>
        <v>1</v>
      </c>
      <c r="U45" s="6" t="n">
        <f aca="false">IF(C45&gt;0,F45/C45,"")</f>
        <v>0</v>
      </c>
      <c r="V45" s="4" t="n">
        <f aca="false">IF(C45&gt;0,B45/C45*1000,"")</f>
        <v>62</v>
      </c>
      <c r="W45" s="4" t="str">
        <f aca="false">IF(F45&gt;0,B45/F45,"")</f>
        <v/>
      </c>
      <c r="X45" s="4" t="str">
        <f aca="false">IF(H45&gt;0,B45/H45,"")</f>
        <v/>
      </c>
      <c r="Y45" s="7" t="str">
        <f aca="false">IF(F45&gt;0,G45/F45,"")</f>
        <v/>
      </c>
      <c r="Z45" s="7" t="str">
        <f aca="false">IF(G45&gt;0,H45/G45,"")</f>
        <v/>
      </c>
      <c r="AA45" s="6" t="n">
        <f aca="false">IF(C45&gt;0,I45/C45,"")</f>
        <v>0.3</v>
      </c>
      <c r="AB45" s="7" t="n">
        <f aca="false">IF(C45&gt;0,N45/C45,"")</f>
        <v>0.3</v>
      </c>
      <c r="AC45" s="7" t="n">
        <f aca="false">IF(N45&gt;0,R45/N45,"")</f>
        <v>0</v>
      </c>
    </row>
    <row r="46" customFormat="false" ht="15" hidden="false" customHeight="false" outlineLevel="0" collapsed="false">
      <c r="A46" s="2" t="s">
        <v>120</v>
      </c>
      <c r="B46" s="4" t="n">
        <v>0.53</v>
      </c>
      <c r="C46" s="5" t="n">
        <v>10</v>
      </c>
      <c r="D46" s="5" t="n">
        <v>8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2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8" t="n">
        <f aca="false">IF(D46&gt;0,C46/D46,"")</f>
        <v>1.25</v>
      </c>
      <c r="U46" s="6" t="n">
        <f aca="false">IF(C46&gt;0,F46/C46,"")</f>
        <v>0</v>
      </c>
      <c r="V46" s="4" t="n">
        <f aca="false">IF(C46&gt;0,B46/C46*1000,"")</f>
        <v>53</v>
      </c>
      <c r="W46" s="4" t="str">
        <f aca="false">IF(F46&gt;0,B46/F46,"")</f>
        <v/>
      </c>
      <c r="X46" s="4" t="str">
        <f aca="false">IF(H46&gt;0,B46/H46,"")</f>
        <v/>
      </c>
      <c r="Y46" s="7" t="str">
        <f aca="false">IF(F46&gt;0,G46/F46,"")</f>
        <v/>
      </c>
      <c r="Z46" s="7" t="str">
        <f aca="false">IF(G46&gt;0,H46/G46,"")</f>
        <v/>
      </c>
      <c r="AA46" s="6" t="n">
        <f aca="false">IF(C46&gt;0,I46/C46,"")</f>
        <v>0.2</v>
      </c>
      <c r="AB46" s="7" t="n">
        <f aca="false">IF(C46&gt;0,N46/C46,"")</f>
        <v>0.2</v>
      </c>
      <c r="AC46" s="7" t="n">
        <f aca="false">IF(N46&gt;0,R46/N46,"")</f>
        <v>0</v>
      </c>
    </row>
    <row r="47" customFormat="false" ht="15" hidden="false" customHeight="false" outlineLevel="0" collapsed="false">
      <c r="A47" s="2" t="s">
        <v>121</v>
      </c>
      <c r="B47" s="4" t="n">
        <v>0.47</v>
      </c>
      <c r="C47" s="5" t="n">
        <v>12</v>
      </c>
      <c r="D47" s="5" t="n">
        <v>11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3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3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8" t="n">
        <f aca="false">IF(D47&gt;0,C47/D47,"")</f>
        <v>1.09090909090909</v>
      </c>
      <c r="U47" s="6" t="n">
        <f aca="false">IF(C47&gt;0,F47/C47,"")</f>
        <v>0</v>
      </c>
      <c r="V47" s="4" t="n">
        <f aca="false">IF(C47&gt;0,B47/C47*1000,"")</f>
        <v>39.1666666666667</v>
      </c>
      <c r="W47" s="4" t="str">
        <f aca="false">IF(F47&gt;0,B47/F47,"")</f>
        <v/>
      </c>
      <c r="X47" s="4" t="str">
        <f aca="false">IF(H47&gt;0,B47/H47,"")</f>
        <v/>
      </c>
      <c r="Y47" s="7" t="str">
        <f aca="false">IF(F47&gt;0,G47/F47,"")</f>
        <v/>
      </c>
      <c r="Z47" s="7" t="str">
        <f aca="false">IF(G47&gt;0,H47/G47,"")</f>
        <v/>
      </c>
      <c r="AA47" s="6" t="n">
        <f aca="false">IF(C47&gt;0,I47/C47,"")</f>
        <v>0.25</v>
      </c>
      <c r="AB47" s="7" t="n">
        <f aca="false">IF(C47&gt;0,N47/C47,"")</f>
        <v>0.25</v>
      </c>
      <c r="AC47" s="7" t="n">
        <f aca="false">IF(N47&gt;0,R47/N47,"")</f>
        <v>0</v>
      </c>
    </row>
    <row r="48" customFormat="false" ht="15" hidden="false" customHeight="false" outlineLevel="0" collapsed="false">
      <c r="A48" s="2" t="s">
        <v>122</v>
      </c>
      <c r="B48" s="4" t="n">
        <v>0.42</v>
      </c>
      <c r="C48" s="5" t="n">
        <v>10</v>
      </c>
      <c r="D48" s="5" t="n">
        <v>6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4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8" t="n">
        <f aca="false">IF(D48&gt;0,C48/D48,"")</f>
        <v>1.66666666666667</v>
      </c>
      <c r="U48" s="6" t="n">
        <f aca="false">IF(C48&gt;0,F48/C48,"")</f>
        <v>0.2</v>
      </c>
      <c r="V48" s="4" t="n">
        <f aca="false">IF(C48&gt;0,B48/C48*1000,"")</f>
        <v>42</v>
      </c>
      <c r="W48" s="4" t="n">
        <f aca="false">IF(F48&gt;0,B48/F48,"")</f>
        <v>0.21</v>
      </c>
      <c r="X48" s="4" t="str">
        <f aca="false">IF(H48&gt;0,B48/H48,"")</f>
        <v/>
      </c>
      <c r="Y48" s="7" t="n">
        <f aca="false">IF(F48&gt;0,G48/F48,"")</f>
        <v>0</v>
      </c>
      <c r="Z48" s="7" t="str">
        <f aca="false">IF(G48&gt;0,H48/G48,"")</f>
        <v/>
      </c>
      <c r="AA48" s="6" t="n">
        <f aca="false">IF(C48&gt;0,I48/C48,"")</f>
        <v>0.4</v>
      </c>
      <c r="AB48" s="7" t="n">
        <f aca="false">IF(C48&gt;0,N48/C48,"")</f>
        <v>0.2</v>
      </c>
      <c r="AC48" s="7" t="n">
        <f aca="false">IF(N48&gt;0,R48/N48,"")</f>
        <v>0</v>
      </c>
    </row>
    <row r="49" customFormat="false" ht="15" hidden="false" customHeight="false" outlineLevel="0" collapsed="false">
      <c r="A49" s="2" t="s">
        <v>123</v>
      </c>
      <c r="B49" s="4" t="n">
        <v>0.31</v>
      </c>
      <c r="C49" s="5" t="n">
        <v>13</v>
      </c>
      <c r="D49" s="5" t="n">
        <v>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2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8" t="n">
        <f aca="false">IF(D49&gt;0,C49/D49,"")</f>
        <v>1.85714285714286</v>
      </c>
      <c r="U49" s="6" t="n">
        <f aca="false">IF(C49&gt;0,F49/C49,"")</f>
        <v>0</v>
      </c>
      <c r="V49" s="4" t="n">
        <f aca="false">IF(C49&gt;0,B49/C49*1000,"")</f>
        <v>23.8461538461538</v>
      </c>
      <c r="W49" s="4" t="str">
        <f aca="false">IF(F49&gt;0,B49/F49,"")</f>
        <v/>
      </c>
      <c r="X49" s="4" t="str">
        <f aca="false">IF(H49&gt;0,B49/H49,"")</f>
        <v/>
      </c>
      <c r="Y49" s="7" t="str">
        <f aca="false">IF(F49&gt;0,G49/F49,"")</f>
        <v/>
      </c>
      <c r="Z49" s="7" t="str">
        <f aca="false">IF(G49&gt;0,H49/G49,"")</f>
        <v/>
      </c>
      <c r="AA49" s="6" t="n">
        <f aca="false">IF(C49&gt;0,I49/C49,"")</f>
        <v>0.153846153846154</v>
      </c>
      <c r="AB49" s="7" t="n">
        <f aca="false">IF(C49&gt;0,N49/C49,"")</f>
        <v>0.153846153846154</v>
      </c>
      <c r="AC49" s="7" t="n">
        <f aca="false">IF(N49&gt;0,R49/N49,"")</f>
        <v>0</v>
      </c>
    </row>
    <row r="50" customFormat="false" ht="15" hidden="false" customHeight="false" outlineLevel="0" collapsed="false">
      <c r="A50" s="2" t="s">
        <v>124</v>
      </c>
      <c r="B50" s="4" t="n">
        <v>0.24</v>
      </c>
      <c r="C50" s="5" t="n">
        <v>5</v>
      </c>
      <c r="D50" s="5" t="n">
        <v>4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3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2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8" t="n">
        <f aca="false">IF(D50&gt;0,C50/D50,"")</f>
        <v>1.25</v>
      </c>
      <c r="U50" s="6" t="n">
        <f aca="false">IF(C50&gt;0,F50/C50,"")</f>
        <v>0.2</v>
      </c>
      <c r="V50" s="4" t="n">
        <f aca="false">IF(C50&gt;0,B50/C50*1000,"")</f>
        <v>48</v>
      </c>
      <c r="W50" s="4" t="n">
        <f aca="false">IF(F50&gt;0,B50/F50,"")</f>
        <v>0.24</v>
      </c>
      <c r="X50" s="4" t="str">
        <f aca="false">IF(H50&gt;0,B50/H50,"")</f>
        <v/>
      </c>
      <c r="Y50" s="7" t="n">
        <f aca="false">IF(F50&gt;0,G50/F50,"")</f>
        <v>0</v>
      </c>
      <c r="Z50" s="7" t="str">
        <f aca="false">IF(G50&gt;0,H50/G50,"")</f>
        <v/>
      </c>
      <c r="AA50" s="6" t="n">
        <f aca="false">IF(C50&gt;0,I50/C50,"")</f>
        <v>0.6</v>
      </c>
      <c r="AB50" s="7" t="n">
        <f aca="false">IF(C50&gt;0,N50/C50,"")</f>
        <v>0.4</v>
      </c>
      <c r="AC50" s="7" t="n">
        <f aca="false">IF(N50&gt;0,R50/N50,"")</f>
        <v>0</v>
      </c>
    </row>
    <row r="51" customFormat="false" ht="15" hidden="false" customHeight="false" outlineLevel="0" collapsed="false">
      <c r="A51" s="2" t="s">
        <v>125</v>
      </c>
      <c r="B51" s="4" t="n">
        <v>0.14</v>
      </c>
      <c r="C51" s="5" t="n">
        <v>3</v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3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8" t="n">
        <f aca="false">IF(D51&gt;0,C51/D51,"")</f>
        <v>1.5</v>
      </c>
      <c r="U51" s="6" t="n">
        <f aca="false">IF(C51&gt;0,F51/C51,"")</f>
        <v>0.333333333333333</v>
      </c>
      <c r="V51" s="4" t="n">
        <f aca="false">IF(C51&gt;0,B51/C51*1000,"")</f>
        <v>46.6666666666667</v>
      </c>
      <c r="W51" s="4" t="n">
        <f aca="false">IF(F51&gt;0,B51/F51,"")</f>
        <v>0.14</v>
      </c>
      <c r="X51" s="4" t="str">
        <f aca="false">IF(H51&gt;0,B51/H51,"")</f>
        <v/>
      </c>
      <c r="Y51" s="7" t="n">
        <f aca="false">IF(F51&gt;0,G51/F51,"")</f>
        <v>0</v>
      </c>
      <c r="Z51" s="7" t="str">
        <f aca="false">IF(G51&gt;0,H51/G51,"")</f>
        <v/>
      </c>
      <c r="AA51" s="6" t="n">
        <f aca="false">IF(C51&gt;0,I51/C51,"")</f>
        <v>1</v>
      </c>
      <c r="AB51" s="7" t="n">
        <f aca="false">IF(C51&gt;0,N51/C51,"")</f>
        <v>0.666666666666667</v>
      </c>
      <c r="AC51" s="7" t="n">
        <f aca="false">IF(N51&gt;0,R51/N51,"")</f>
        <v>0</v>
      </c>
    </row>
    <row r="52" customFormat="false" ht="15" hidden="false" customHeight="false" outlineLevel="0" collapsed="false">
      <c r="A52" s="2" t="s">
        <v>126</v>
      </c>
      <c r="B52" s="4" t="n">
        <v>0.03</v>
      </c>
      <c r="C52" s="5" t="n">
        <v>1</v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8" t="n">
        <f aca="false">IF(D52&gt;0,C52/D52,"")</f>
        <v>1</v>
      </c>
      <c r="U52" s="6" t="n">
        <f aca="false">IF(C52&gt;0,F52/C52,"")</f>
        <v>0</v>
      </c>
      <c r="V52" s="4" t="n">
        <f aca="false">IF(C52&gt;0,B52/C52*1000,"")</f>
        <v>30</v>
      </c>
      <c r="W52" s="4" t="str">
        <f aca="false">IF(F52&gt;0,B52/F52,"")</f>
        <v/>
      </c>
      <c r="X52" s="4" t="str">
        <f aca="false">IF(H52&gt;0,B52/H52,"")</f>
        <v/>
      </c>
      <c r="Y52" s="7" t="str">
        <f aca="false">IF(F52&gt;0,G52/F52,"")</f>
        <v/>
      </c>
      <c r="Z52" s="7" t="str">
        <f aca="false">IF(G52&gt;0,H52/G52,"")</f>
        <v/>
      </c>
      <c r="AA52" s="6" t="n">
        <f aca="false">IF(C52&gt;0,I52/C52,"")</f>
        <v>0</v>
      </c>
      <c r="AB52" s="7" t="n">
        <f aca="false">IF(C52&gt;0,N52/C52,"")</f>
        <v>0</v>
      </c>
      <c r="AC52" s="7" t="str">
        <f aca="false">IF(N52&gt;0,R52/N52,"")</f>
        <v/>
      </c>
    </row>
    <row r="53" customFormat="false" ht="15" hidden="false" customHeight="false" outlineLevel="0" collapsed="false">
      <c r="A53" s="11" t="s">
        <v>52</v>
      </c>
      <c r="B53" s="12" t="n">
        <f aca="false">SUM(B2:B52)</f>
        <v>488.01</v>
      </c>
      <c r="C53" s="13" t="n">
        <f aca="false">SUM(C2:C52)</f>
        <v>5230</v>
      </c>
      <c r="D53" s="13"/>
      <c r="E53" s="13" t="n">
        <f aca="false">SUM(E2:E52)</f>
        <v>293</v>
      </c>
      <c r="F53" s="13" t="n">
        <f aca="false">SUM(F2:F52)</f>
        <v>236</v>
      </c>
      <c r="G53" s="13" t="n">
        <f aca="false">SUM(G2:G52)</f>
        <v>0</v>
      </c>
      <c r="H53" s="13" t="n">
        <f aca="false">SUM(H2:H52)</f>
        <v>0</v>
      </c>
      <c r="I53" s="13" t="n">
        <f aca="false">SUM(I2:I52)</f>
        <v>1663</v>
      </c>
      <c r="J53" s="13" t="n">
        <f aca="false">SUM(J2:J52)</f>
        <v>27</v>
      </c>
      <c r="K53" s="13" t="n">
        <f aca="false">SUM(K2:K52)</f>
        <v>0</v>
      </c>
      <c r="L53" s="13" t="n">
        <f aca="false">SUM(L2:L52)</f>
        <v>6</v>
      </c>
      <c r="M53" s="13" t="n">
        <f aca="false">SUM(M2:M52)</f>
        <v>6</v>
      </c>
      <c r="N53" s="13" t="n">
        <f aca="false">SUM(N2:N52)</f>
        <v>1388</v>
      </c>
      <c r="O53" s="13" t="n">
        <f aca="false">SUM(O2:O52)</f>
        <v>0</v>
      </c>
      <c r="P53" s="13" t="n">
        <f aca="false">SUM(P2:P52)</f>
        <v>0</v>
      </c>
      <c r="Q53" s="13" t="n">
        <f aca="false">SUM(Q2:Q52)</f>
        <v>0</v>
      </c>
      <c r="R53" s="13" t="n">
        <f aca="false">SUM(R2:R52)</f>
        <v>0</v>
      </c>
      <c r="S53" s="13" t="n">
        <f aca="false">SUM(S2:S52)</f>
        <v>0</v>
      </c>
      <c r="T53" s="14" t="str">
        <f aca="false">IF(D53&gt;0,C53/D53,"")</f>
        <v/>
      </c>
      <c r="U53" s="15" t="n">
        <f aca="false">IF(C53&gt;0,F53/C53,"")</f>
        <v>0.0451242829827916</v>
      </c>
      <c r="V53" s="12" t="n">
        <f aca="false">IF(C53&gt;0,B53/C53*1000,"")</f>
        <v>93.3097514340344</v>
      </c>
      <c r="W53" s="12" t="n">
        <f aca="false">IF(F53&gt;0,B53/F53,"")</f>
        <v>2.06783898305085</v>
      </c>
      <c r="X53" s="12" t="str">
        <f aca="false">IF(H53&gt;0,B53/H53,"")</f>
        <v/>
      </c>
      <c r="Y53" s="16" t="n">
        <f aca="false">IF(F53&gt;0,G53/F53,"")</f>
        <v>0</v>
      </c>
      <c r="Z53" s="16" t="str">
        <f aca="false">IF(G53&gt;0,H53/G53,"")</f>
        <v/>
      </c>
      <c r="AA53" s="15" t="n">
        <f aca="false">IF(C53&gt;0,I53/C53,"")</f>
        <v>0.317973231357553</v>
      </c>
      <c r="AB53" s="16" t="n">
        <f aca="false">IF(C53&gt;0,N53/C53,"")</f>
        <v>0.265391969407266</v>
      </c>
      <c r="AC53" s="16" t="n">
        <f aca="false">IF(N53&gt;0,R53/N53,"")</f>
        <v>0</v>
      </c>
    </row>
    <row r="55" customFormat="false" ht="15" hidden="false" customHeight="false" outlineLevel="0" collapsed="false">
      <c r="A55" s="17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0" min="3" style="0" width="13"/>
  </cols>
  <sheetData>
    <row r="1" customFormat="false" ht="31.5" hidden="false" customHeight="true" outlineLevel="0" collapsed="false">
      <c r="A1" s="10" t="s">
        <v>128</v>
      </c>
      <c r="B1" s="10" t="s">
        <v>129</v>
      </c>
      <c r="C1" s="10" t="s">
        <v>4</v>
      </c>
      <c r="D1" s="10" t="s">
        <v>5</v>
      </c>
      <c r="E1" s="10" t="s">
        <v>28</v>
      </c>
      <c r="F1" s="10" t="s">
        <v>29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10</v>
      </c>
      <c r="P1" s="10" t="s">
        <v>34</v>
      </c>
      <c r="Q1" s="10" t="s">
        <v>35</v>
      </c>
      <c r="R1" s="10" t="s">
        <v>36</v>
      </c>
      <c r="S1" s="10" t="s">
        <v>37</v>
      </c>
      <c r="T1" s="10" t="s">
        <v>11</v>
      </c>
      <c r="U1" s="10" t="s">
        <v>21</v>
      </c>
      <c r="V1" s="10" t="s">
        <v>12</v>
      </c>
      <c r="W1" s="10" t="s">
        <v>13</v>
      </c>
      <c r="X1" s="10" t="s">
        <v>14</v>
      </c>
      <c r="Y1" s="10" t="s">
        <v>15</v>
      </c>
      <c r="Z1" s="10" t="s">
        <v>16</v>
      </c>
      <c r="AA1" s="10" t="s">
        <v>17</v>
      </c>
      <c r="AB1" s="10" t="s">
        <v>38</v>
      </c>
      <c r="AC1" s="10" t="s">
        <v>18</v>
      </c>
      <c r="AD1" s="10" t="s">
        <v>19</v>
      </c>
    </row>
    <row r="2" customFormat="false" ht="15" hidden="false" customHeight="false" outlineLevel="0" collapsed="false">
      <c r="A2" s="2" t="s">
        <v>130</v>
      </c>
      <c r="B2" s="2" t="s">
        <v>131</v>
      </c>
      <c r="C2" s="4" t="n">
        <v>146.96</v>
      </c>
      <c r="D2" s="5" t="n">
        <v>1211</v>
      </c>
      <c r="E2" s="5" t="n">
        <v>817</v>
      </c>
      <c r="F2" s="5" t="n">
        <v>67</v>
      </c>
      <c r="G2" s="5" t="n">
        <v>32</v>
      </c>
      <c r="H2" s="5" t="n">
        <v>27</v>
      </c>
      <c r="I2" s="5" t="n">
        <v>2</v>
      </c>
      <c r="J2" s="5" t="n">
        <v>163</v>
      </c>
      <c r="K2" s="5" t="n">
        <v>1</v>
      </c>
      <c r="L2" s="5" t="n">
        <v>0</v>
      </c>
      <c r="M2" s="5" t="n">
        <v>1</v>
      </c>
      <c r="N2" s="5" t="n">
        <v>0</v>
      </c>
      <c r="O2" s="5" t="n">
        <v>129</v>
      </c>
      <c r="P2" s="5" t="n">
        <v>103</v>
      </c>
      <c r="Q2" s="5" t="n">
        <v>50</v>
      </c>
      <c r="R2" s="5" t="n">
        <v>28</v>
      </c>
      <c r="S2" s="5" t="n">
        <v>15</v>
      </c>
      <c r="T2" s="5" t="n">
        <v>19</v>
      </c>
      <c r="U2" s="8" t="n">
        <f aca="false">IF(E2&gt;0,D2/E2,"")</f>
        <v>1.48225214198286</v>
      </c>
      <c r="V2" s="6" t="n">
        <f aca="false">IF(D2&gt;0,G2/D2,"")</f>
        <v>0.0264244426094137</v>
      </c>
      <c r="W2" s="4" t="n">
        <f aca="false">IF(D2&gt;0,C2/D2*1000,"")</f>
        <v>121.354252683732</v>
      </c>
      <c r="X2" s="4" t="n">
        <f aca="false">IF(G2&gt;0,C2/G2,"")</f>
        <v>4.5925</v>
      </c>
      <c r="Y2" s="4" t="n">
        <f aca="false">IF(I2&gt;0,C2/I2,"")</f>
        <v>73.48</v>
      </c>
      <c r="Z2" s="7" t="n">
        <f aca="false">IF(G2&gt;0,H2/G2,"")</f>
        <v>0.84375</v>
      </c>
      <c r="AA2" s="7" t="n">
        <f aca="false">IF(H2&gt;0,I2/H2,"")</f>
        <v>0.0740740740740741</v>
      </c>
      <c r="AB2" s="6" t="n">
        <f aca="false">IF(D2&gt;0,J2/D2,"")</f>
        <v>0.134599504541701</v>
      </c>
      <c r="AC2" s="7" t="n">
        <f aca="false">IF(D2&gt;0,O2/D2,"")</f>
        <v>0.106523534269199</v>
      </c>
      <c r="AD2" s="7" t="n">
        <f aca="false">IF(O2&gt;0,S2/O2,"")</f>
        <v>0.116279069767442</v>
      </c>
    </row>
    <row r="3" customFormat="false" ht="15" hidden="false" customHeight="false" outlineLevel="0" collapsed="false">
      <c r="A3" s="2" t="s">
        <v>132</v>
      </c>
      <c r="B3" s="2" t="s">
        <v>131</v>
      </c>
      <c r="C3" s="4" t="n">
        <v>116.65</v>
      </c>
      <c r="D3" s="5" t="n">
        <v>1271</v>
      </c>
      <c r="E3" s="5" t="n">
        <v>869</v>
      </c>
      <c r="F3" s="5" t="n">
        <v>13</v>
      </c>
      <c r="G3" s="5" t="n">
        <v>6</v>
      </c>
      <c r="H3" s="5" t="n">
        <v>5</v>
      </c>
      <c r="I3" s="5" t="n">
        <v>1</v>
      </c>
      <c r="J3" s="5" t="n">
        <v>445</v>
      </c>
      <c r="K3" s="5" t="n">
        <v>6</v>
      </c>
      <c r="L3" s="5" t="n">
        <v>0</v>
      </c>
      <c r="M3" s="5" t="n">
        <v>0</v>
      </c>
      <c r="N3" s="5" t="n">
        <v>1</v>
      </c>
      <c r="O3" s="5" t="n">
        <v>432</v>
      </c>
      <c r="P3" s="5" t="n">
        <v>335</v>
      </c>
      <c r="Q3" s="5" t="n">
        <v>109</v>
      </c>
      <c r="R3" s="5" t="n">
        <v>53</v>
      </c>
      <c r="S3" s="5" t="n">
        <v>32</v>
      </c>
      <c r="T3" s="5" t="n">
        <v>32</v>
      </c>
      <c r="U3" s="8" t="n">
        <f aca="false">IF(E3&gt;0,D3/E3,"")</f>
        <v>1.46260069044879</v>
      </c>
      <c r="V3" s="6" t="n">
        <f aca="false">IF(D3&gt;0,G3/D3,"")</f>
        <v>0.00472069236821401</v>
      </c>
      <c r="W3" s="4" t="n">
        <f aca="false">IF(D3&gt;0,C3/D3*1000,"")</f>
        <v>91.7781274586939</v>
      </c>
      <c r="X3" s="4" t="n">
        <f aca="false">IF(G3&gt;0,C3/G3,"")</f>
        <v>19.4416666666667</v>
      </c>
      <c r="Y3" s="4" t="n">
        <f aca="false">IF(I3&gt;0,C3/I3,"")</f>
        <v>116.65</v>
      </c>
      <c r="Z3" s="7" t="n">
        <f aca="false">IF(G3&gt;0,H3/G3,"")</f>
        <v>0.833333333333333</v>
      </c>
      <c r="AA3" s="7" t="n">
        <f aca="false">IF(H3&gt;0,I3/H3,"")</f>
        <v>0.2</v>
      </c>
      <c r="AB3" s="6" t="n">
        <f aca="false">IF(D3&gt;0,J3/D3,"")</f>
        <v>0.350118017309205</v>
      </c>
      <c r="AC3" s="7" t="n">
        <f aca="false">IF(D3&gt;0,O3/D3,"")</f>
        <v>0.339889850511408</v>
      </c>
      <c r="AD3" s="7" t="n">
        <f aca="false">IF(O3&gt;0,S3/O3,"")</f>
        <v>0.0740740740740741</v>
      </c>
    </row>
    <row r="4" customFormat="false" ht="15" hidden="false" customHeight="false" outlineLevel="0" collapsed="false">
      <c r="A4" s="2" t="s">
        <v>132</v>
      </c>
      <c r="B4" s="2" t="s">
        <v>133</v>
      </c>
      <c r="C4" s="4" t="n">
        <v>85.85</v>
      </c>
      <c r="D4" s="5" t="n">
        <v>1125</v>
      </c>
      <c r="E4" s="5" t="n">
        <v>861</v>
      </c>
      <c r="F4" s="5" t="n">
        <v>85</v>
      </c>
      <c r="G4" s="5" t="n">
        <v>69</v>
      </c>
      <c r="H4" s="5" t="n">
        <v>62</v>
      </c>
      <c r="I4" s="5" t="n">
        <v>1</v>
      </c>
      <c r="J4" s="5" t="n">
        <v>475</v>
      </c>
      <c r="K4" s="5" t="n">
        <v>17</v>
      </c>
      <c r="L4" s="5" t="n">
        <v>0</v>
      </c>
      <c r="M4" s="5" t="n">
        <v>5</v>
      </c>
      <c r="N4" s="5" t="n">
        <v>3</v>
      </c>
      <c r="O4" s="5" t="n">
        <v>381</v>
      </c>
      <c r="P4" s="5" t="n">
        <v>298</v>
      </c>
      <c r="Q4" s="5" t="n">
        <v>109</v>
      </c>
      <c r="R4" s="5" t="n">
        <v>35</v>
      </c>
      <c r="S4" s="5" t="n">
        <v>14</v>
      </c>
      <c r="T4" s="5" t="n">
        <v>17</v>
      </c>
      <c r="U4" s="8" t="n">
        <f aca="false">IF(E4&gt;0,D4/E4,"")</f>
        <v>1.30662020905923</v>
      </c>
      <c r="V4" s="6" t="n">
        <f aca="false">IF(D4&gt;0,G4/D4,"")</f>
        <v>0.0613333333333333</v>
      </c>
      <c r="W4" s="4" t="n">
        <f aca="false">IF(D4&gt;0,C4/D4*1000,"")</f>
        <v>76.3111111111111</v>
      </c>
      <c r="X4" s="4" t="n">
        <f aca="false">IF(G4&gt;0,C4/G4,"")</f>
        <v>1.24420289855072</v>
      </c>
      <c r="Y4" s="4" t="n">
        <f aca="false">IF(I4&gt;0,C4/I4,"")</f>
        <v>85.85</v>
      </c>
      <c r="Z4" s="7" t="n">
        <f aca="false">IF(G4&gt;0,H4/G4,"")</f>
        <v>0.898550724637681</v>
      </c>
      <c r="AA4" s="7" t="n">
        <f aca="false">IF(H4&gt;0,I4/H4,"")</f>
        <v>0.0161290322580645</v>
      </c>
      <c r="AB4" s="6" t="n">
        <f aca="false">IF(D4&gt;0,J4/D4,"")</f>
        <v>0.422222222222222</v>
      </c>
      <c r="AC4" s="7" t="n">
        <f aca="false">IF(D4&gt;0,O4/D4,"")</f>
        <v>0.338666666666667</v>
      </c>
      <c r="AD4" s="7" t="n">
        <f aca="false">IF(O4&gt;0,S4/O4,"")</f>
        <v>0.036745406824147</v>
      </c>
    </row>
    <row r="5" customFormat="false" ht="15" hidden="false" customHeight="false" outlineLevel="0" collapsed="false">
      <c r="A5" s="2" t="s">
        <v>130</v>
      </c>
      <c r="B5" s="2" t="s">
        <v>134</v>
      </c>
      <c r="C5" s="4" t="n">
        <v>84.87</v>
      </c>
      <c r="D5" s="5" t="n">
        <v>917</v>
      </c>
      <c r="E5" s="5" t="n">
        <v>727</v>
      </c>
      <c r="F5" s="5" t="n">
        <v>64</v>
      </c>
      <c r="G5" s="5" t="n">
        <v>56</v>
      </c>
      <c r="H5" s="5" t="n">
        <v>39</v>
      </c>
      <c r="I5" s="5" t="n">
        <v>0</v>
      </c>
      <c r="J5" s="5" t="n">
        <v>377</v>
      </c>
      <c r="K5" s="5" t="n">
        <v>3</v>
      </c>
      <c r="L5" s="5" t="n">
        <v>0</v>
      </c>
      <c r="M5" s="5" t="n">
        <v>0</v>
      </c>
      <c r="N5" s="5" t="n">
        <v>2</v>
      </c>
      <c r="O5" s="5" t="n">
        <v>316</v>
      </c>
      <c r="P5" s="5" t="n">
        <v>236</v>
      </c>
      <c r="Q5" s="5" t="n">
        <v>97</v>
      </c>
      <c r="R5" s="5" t="n">
        <v>58</v>
      </c>
      <c r="S5" s="5" t="n">
        <v>29</v>
      </c>
      <c r="T5" s="5" t="n">
        <v>32</v>
      </c>
      <c r="U5" s="8" t="n">
        <f aca="false">IF(E5&gt;0,D5/E5,"")</f>
        <v>1.26134800550206</v>
      </c>
      <c r="V5" s="6" t="n">
        <f aca="false">IF(D5&gt;0,G5/D5,"")</f>
        <v>0.0610687022900763</v>
      </c>
      <c r="W5" s="4" t="n">
        <f aca="false">IF(D5&gt;0,C5/D5*1000,"")</f>
        <v>92.5517993456925</v>
      </c>
      <c r="X5" s="4" t="n">
        <f aca="false">IF(G5&gt;0,C5/G5,"")</f>
        <v>1.51553571428571</v>
      </c>
      <c r="Y5" s="4" t="str">
        <f aca="false">IF(I5&gt;0,C5/I5,"")</f>
        <v/>
      </c>
      <c r="Z5" s="7" t="n">
        <f aca="false">IF(G5&gt;0,H5/G5,"")</f>
        <v>0.696428571428571</v>
      </c>
      <c r="AA5" s="7" t="n">
        <f aca="false">IF(H5&gt;0,I5/H5,"")</f>
        <v>0</v>
      </c>
      <c r="AB5" s="6" t="n">
        <f aca="false">IF(D5&gt;0,J5/D5,"")</f>
        <v>0.411123227917121</v>
      </c>
      <c r="AC5" s="7" t="n">
        <f aca="false">IF(D5&gt;0,O5/D5,"")</f>
        <v>0.344601962922574</v>
      </c>
      <c r="AD5" s="7" t="n">
        <f aca="false">IF(O5&gt;0,S5/O5,"")</f>
        <v>0.0917721518987342</v>
      </c>
    </row>
    <row r="6" customFormat="false" ht="15" hidden="false" customHeight="false" outlineLevel="0" collapsed="false">
      <c r="A6" s="2" t="s">
        <v>132</v>
      </c>
      <c r="B6" s="2" t="s">
        <v>135</v>
      </c>
      <c r="C6" s="4" t="n">
        <v>32.18</v>
      </c>
      <c r="D6" s="5" t="n">
        <v>365</v>
      </c>
      <c r="E6" s="5" t="n">
        <v>259</v>
      </c>
      <c r="F6" s="5" t="n">
        <v>13</v>
      </c>
      <c r="G6" s="5" t="n">
        <v>9</v>
      </c>
      <c r="H6" s="5" t="n">
        <v>6</v>
      </c>
      <c r="I6" s="5" t="n">
        <v>0</v>
      </c>
      <c r="J6" s="5" t="n">
        <v>38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29</v>
      </c>
      <c r="P6" s="5" t="n">
        <v>19</v>
      </c>
      <c r="Q6" s="5" t="n">
        <v>7</v>
      </c>
      <c r="R6" s="5" t="n">
        <v>3</v>
      </c>
      <c r="S6" s="5" t="n">
        <v>1</v>
      </c>
      <c r="T6" s="5" t="n">
        <v>3</v>
      </c>
      <c r="U6" s="8" t="n">
        <f aca="false">IF(E6&gt;0,D6/E6,"")</f>
        <v>1.40926640926641</v>
      </c>
      <c r="V6" s="6" t="n">
        <f aca="false">IF(D6&gt;0,G6/D6,"")</f>
        <v>0.0246575342465753</v>
      </c>
      <c r="W6" s="4" t="n">
        <f aca="false">IF(D6&gt;0,C6/D6*1000,"")</f>
        <v>88.1643835616439</v>
      </c>
      <c r="X6" s="4" t="n">
        <f aca="false">IF(G6&gt;0,C6/G6,"")</f>
        <v>3.57555555555556</v>
      </c>
      <c r="Y6" s="4" t="str">
        <f aca="false">IF(I6&gt;0,C6/I6,"")</f>
        <v/>
      </c>
      <c r="Z6" s="7" t="n">
        <f aca="false">IF(G6&gt;0,H6/G6,"")</f>
        <v>0.666666666666667</v>
      </c>
      <c r="AA6" s="7" t="n">
        <f aca="false">IF(H6&gt;0,I6/H6,"")</f>
        <v>0</v>
      </c>
      <c r="AB6" s="6" t="n">
        <f aca="false">IF(D6&gt;0,J6/D6,"")</f>
        <v>0.104109589041096</v>
      </c>
      <c r="AC6" s="7" t="n">
        <f aca="false">IF(D6&gt;0,O6/D6,"")</f>
        <v>0.0794520547945206</v>
      </c>
      <c r="AD6" s="7" t="n">
        <f aca="false">IF(O6&gt;0,S6/O6,"")</f>
        <v>0.0344827586206897</v>
      </c>
    </row>
    <row r="7" customFormat="false" ht="15" hidden="false" customHeight="false" outlineLevel="0" collapsed="false">
      <c r="A7" s="2" t="s">
        <v>136</v>
      </c>
      <c r="B7" s="2" t="s">
        <v>137</v>
      </c>
      <c r="C7" s="4" t="n">
        <v>9.2</v>
      </c>
      <c r="D7" s="5" t="n">
        <v>156</v>
      </c>
      <c r="E7" s="5" t="n">
        <v>97</v>
      </c>
      <c r="F7" s="5" t="n">
        <v>23</v>
      </c>
      <c r="G7" s="5" t="n">
        <v>30</v>
      </c>
      <c r="H7" s="5" t="n">
        <v>16</v>
      </c>
      <c r="I7" s="5" t="n">
        <v>0</v>
      </c>
      <c r="J7" s="5" t="n">
        <v>70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40</v>
      </c>
      <c r="P7" s="5" t="n">
        <v>18</v>
      </c>
      <c r="Q7" s="5" t="n">
        <v>8</v>
      </c>
      <c r="R7" s="5" t="n">
        <v>5</v>
      </c>
      <c r="S7" s="5" t="n">
        <v>4</v>
      </c>
      <c r="T7" s="5" t="n">
        <v>5</v>
      </c>
      <c r="U7" s="8" t="n">
        <f aca="false">IF(E7&gt;0,D7/E7,"")</f>
        <v>1.60824742268041</v>
      </c>
      <c r="V7" s="6" t="n">
        <f aca="false">IF(D7&gt;0,G7/D7,"")</f>
        <v>0.192307692307692</v>
      </c>
      <c r="W7" s="4" t="n">
        <f aca="false">IF(D7&gt;0,C7/D7*1000,"")</f>
        <v>58.974358974359</v>
      </c>
      <c r="X7" s="4" t="n">
        <f aca="false">IF(G7&gt;0,C7/G7,"")</f>
        <v>0.306666666666667</v>
      </c>
      <c r="Y7" s="4" t="str">
        <f aca="false">IF(I7&gt;0,C7/I7,"")</f>
        <v/>
      </c>
      <c r="Z7" s="7" t="n">
        <f aca="false">IF(G7&gt;0,H7/G7,"")</f>
        <v>0.533333333333333</v>
      </c>
      <c r="AA7" s="7" t="n">
        <f aca="false">IF(H7&gt;0,I7/H7,"")</f>
        <v>0</v>
      </c>
      <c r="AB7" s="6" t="n">
        <f aca="false">IF(D7&gt;0,J7/D7,"")</f>
        <v>0.448717948717949</v>
      </c>
      <c r="AC7" s="7" t="n">
        <f aca="false">IF(D7&gt;0,O7/D7,"")</f>
        <v>0.256410256410256</v>
      </c>
      <c r="AD7" s="7" t="n">
        <f aca="false">IF(O7&gt;0,S7/O7,"")</f>
        <v>0.1</v>
      </c>
    </row>
    <row r="8" customFormat="false" ht="15" hidden="false" customHeight="false" outlineLevel="0" collapsed="false">
      <c r="A8" s="2" t="s">
        <v>130</v>
      </c>
      <c r="B8" s="2" t="s">
        <v>138</v>
      </c>
      <c r="C8" s="4" t="n">
        <v>8.74</v>
      </c>
      <c r="D8" s="5" t="n">
        <v>30</v>
      </c>
      <c r="E8" s="5" t="n">
        <v>26</v>
      </c>
      <c r="F8" s="5" t="n">
        <v>2</v>
      </c>
      <c r="G8" s="5" t="n">
        <v>2</v>
      </c>
      <c r="H8" s="5" t="n">
        <v>0</v>
      </c>
      <c r="I8" s="5" t="n">
        <v>0</v>
      </c>
      <c r="J8" s="5" t="n">
        <v>7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5</v>
      </c>
      <c r="P8" s="5" t="n">
        <v>5</v>
      </c>
      <c r="Q8" s="5" t="n">
        <v>3</v>
      </c>
      <c r="R8" s="5" t="n">
        <v>2</v>
      </c>
      <c r="S8" s="5" t="n">
        <v>1</v>
      </c>
      <c r="T8" s="5" t="n">
        <v>1</v>
      </c>
      <c r="U8" s="8" t="n">
        <f aca="false">IF(E8&gt;0,D8/E8,"")</f>
        <v>1.15384615384615</v>
      </c>
      <c r="V8" s="6" t="n">
        <f aca="false">IF(D8&gt;0,G8/D8,"")</f>
        <v>0.0666666666666667</v>
      </c>
      <c r="W8" s="4" t="n">
        <f aca="false">IF(D8&gt;0,C8/D8*1000,"")</f>
        <v>291.333333333333</v>
      </c>
      <c r="X8" s="4" t="n">
        <f aca="false">IF(G8&gt;0,C8/G8,"")</f>
        <v>4.37</v>
      </c>
      <c r="Y8" s="4" t="str">
        <f aca="false">IF(I8&gt;0,C8/I8,"")</f>
        <v/>
      </c>
      <c r="Z8" s="7" t="n">
        <f aca="false">IF(G8&gt;0,H8/G8,"")</f>
        <v>0</v>
      </c>
      <c r="AA8" s="7" t="str">
        <f aca="false">IF(H8&gt;0,I8/H8,"")</f>
        <v/>
      </c>
      <c r="AB8" s="6" t="n">
        <f aca="false">IF(D8&gt;0,J8/D8,"")</f>
        <v>0.233333333333333</v>
      </c>
      <c r="AC8" s="7" t="n">
        <f aca="false">IF(D8&gt;0,O8/D8,"")</f>
        <v>0.166666666666667</v>
      </c>
      <c r="AD8" s="7" t="n">
        <f aca="false">IF(O8&gt;0,S8/O8,"")</f>
        <v>0.2</v>
      </c>
    </row>
    <row r="9" customFormat="false" ht="15" hidden="false" customHeight="false" outlineLevel="0" collapsed="false">
      <c r="A9" s="2" t="s">
        <v>139</v>
      </c>
      <c r="B9" s="2" t="s">
        <v>140</v>
      </c>
      <c r="C9" s="4" t="n">
        <v>1.7</v>
      </c>
      <c r="D9" s="5" t="n">
        <v>27</v>
      </c>
      <c r="E9" s="5" t="n">
        <v>20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8" t="n">
        <f aca="false">IF(E9&gt;0,D9/E9,"")</f>
        <v>1.35</v>
      </c>
      <c r="V9" s="6" t="n">
        <f aca="false">IF(D9&gt;0,G9/D9,"")</f>
        <v>0</v>
      </c>
      <c r="W9" s="4" t="n">
        <f aca="false">IF(D9&gt;0,C9/D9*1000,"")</f>
        <v>62.962962962963</v>
      </c>
      <c r="X9" s="4" t="str">
        <f aca="false">IF(G9&gt;0,C9/G9,"")</f>
        <v/>
      </c>
      <c r="Y9" s="4" t="str">
        <f aca="false">IF(I9&gt;0,C9/I9,"")</f>
        <v/>
      </c>
      <c r="Z9" s="7" t="str">
        <f aca="false">IF(G9&gt;0,H9/G9,"")</f>
        <v/>
      </c>
      <c r="AA9" s="7" t="str">
        <f aca="false">IF(H9&gt;0,I9/H9,"")</f>
        <v/>
      </c>
      <c r="AB9" s="6" t="n">
        <f aca="false">IF(D9&gt;0,J9/D9,"")</f>
        <v>0</v>
      </c>
      <c r="AC9" s="7" t="n">
        <f aca="false">IF(D9&gt;0,O9/D9,"")</f>
        <v>0</v>
      </c>
      <c r="AD9" s="7" t="str">
        <f aca="false">IF(O9&gt;0,S9/O9,"")</f>
        <v/>
      </c>
    </row>
    <row r="10" customFormat="false" ht="15" hidden="false" customHeight="false" outlineLevel="0" collapsed="false">
      <c r="A10" s="2" t="s">
        <v>136</v>
      </c>
      <c r="B10" s="2" t="s">
        <v>141</v>
      </c>
      <c r="C10" s="4" t="n">
        <v>0.84</v>
      </c>
      <c r="D10" s="5" t="n">
        <v>52</v>
      </c>
      <c r="E10" s="5" t="n">
        <v>34</v>
      </c>
      <c r="F10" s="5" t="n">
        <v>24</v>
      </c>
      <c r="G10" s="5" t="n">
        <v>30</v>
      </c>
      <c r="H10" s="5" t="n">
        <v>27</v>
      </c>
      <c r="I10" s="5" t="n">
        <v>0</v>
      </c>
      <c r="J10" s="5" t="n">
        <v>81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51</v>
      </c>
      <c r="P10" s="5" t="n">
        <v>51</v>
      </c>
      <c r="Q10" s="5" t="n">
        <v>45</v>
      </c>
      <c r="R10" s="5" t="n">
        <v>37</v>
      </c>
      <c r="S10" s="5" t="n">
        <v>26</v>
      </c>
      <c r="T10" s="5" t="n">
        <v>50</v>
      </c>
      <c r="U10" s="8" t="n">
        <f aca="false">IF(E10&gt;0,D10/E10,"")</f>
        <v>1.52941176470588</v>
      </c>
      <c r="V10" s="6" t="n">
        <f aca="false">IF(D10&gt;0,G10/D10,"")</f>
        <v>0.576923076923077</v>
      </c>
      <c r="W10" s="4" t="n">
        <f aca="false">IF(D10&gt;0,C10/D10*1000,"")</f>
        <v>16.1538461538462</v>
      </c>
      <c r="X10" s="4" t="n">
        <f aca="false">IF(G10&gt;0,C10/G10,"")</f>
        <v>0.028</v>
      </c>
      <c r="Y10" s="4" t="str">
        <f aca="false">IF(I10&gt;0,C10/I10,"")</f>
        <v/>
      </c>
      <c r="Z10" s="7" t="n">
        <f aca="false">IF(G10&gt;0,H10/G10,"")</f>
        <v>0.9</v>
      </c>
      <c r="AA10" s="7" t="n">
        <f aca="false">IF(H10&gt;0,I10/H10,"")</f>
        <v>0</v>
      </c>
      <c r="AB10" s="6" t="n">
        <f aca="false">IF(D10&gt;0,J10/D10,"")</f>
        <v>1.55769230769231</v>
      </c>
      <c r="AC10" s="7" t="n">
        <f aca="false">IF(D10&gt;0,O10/D10,"")</f>
        <v>0.980769230769231</v>
      </c>
      <c r="AD10" s="7" t="n">
        <f aca="false">IF(O10&gt;0,S10/O10,"")</f>
        <v>0.509803921568627</v>
      </c>
    </row>
    <row r="11" customFormat="false" ht="15" hidden="false" customHeight="false" outlineLevel="0" collapsed="false">
      <c r="A11" s="2" t="s">
        <v>130</v>
      </c>
      <c r="B11" s="2" t="s">
        <v>142</v>
      </c>
      <c r="C11" s="4" t="n">
        <v>0.53</v>
      </c>
      <c r="D11" s="5" t="n">
        <v>24</v>
      </c>
      <c r="E11" s="5" t="n">
        <v>15</v>
      </c>
      <c r="F11" s="5" t="n">
        <v>2</v>
      </c>
      <c r="G11" s="5" t="n">
        <v>2</v>
      </c>
      <c r="H11" s="5" t="n">
        <v>1</v>
      </c>
      <c r="I11" s="5" t="n">
        <v>0</v>
      </c>
      <c r="J11" s="5" t="n">
        <v>6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4</v>
      </c>
      <c r="P11" s="5" t="n">
        <v>3</v>
      </c>
      <c r="Q11" s="5" t="n">
        <v>1</v>
      </c>
      <c r="R11" s="5" t="n">
        <v>1</v>
      </c>
      <c r="S11" s="5" t="n">
        <v>0</v>
      </c>
      <c r="T11" s="5" t="n">
        <v>1</v>
      </c>
      <c r="U11" s="8" t="n">
        <f aca="false">IF(E11&gt;0,D11/E11,"")</f>
        <v>1.6</v>
      </c>
      <c r="V11" s="6" t="n">
        <f aca="false">IF(D11&gt;0,G11/D11,"")</f>
        <v>0.0833333333333333</v>
      </c>
      <c r="W11" s="4" t="n">
        <f aca="false">IF(D11&gt;0,C11/D11*1000,"")</f>
        <v>22.0833333333333</v>
      </c>
      <c r="X11" s="4" t="n">
        <f aca="false">IF(G11&gt;0,C11/G11,"")</f>
        <v>0.265</v>
      </c>
      <c r="Y11" s="4" t="str">
        <f aca="false">IF(I11&gt;0,C11/I11,"")</f>
        <v/>
      </c>
      <c r="Z11" s="7" t="n">
        <f aca="false">IF(G11&gt;0,H11/G11,"")</f>
        <v>0.5</v>
      </c>
      <c r="AA11" s="7" t="n">
        <f aca="false">IF(H11&gt;0,I11/H11,"")</f>
        <v>0</v>
      </c>
      <c r="AB11" s="6" t="n">
        <f aca="false">IF(D11&gt;0,J11/D11,"")</f>
        <v>0.25</v>
      </c>
      <c r="AC11" s="7" t="n">
        <f aca="false">IF(D11&gt;0,O11/D11,"")</f>
        <v>0.166666666666667</v>
      </c>
      <c r="AD11" s="7" t="n">
        <f aca="false">IF(O11&gt;0,S11/O11,"")</f>
        <v>0</v>
      </c>
    </row>
    <row r="12" customFormat="false" ht="15" hidden="false" customHeight="false" outlineLevel="0" collapsed="false">
      <c r="A12" s="2" t="s">
        <v>132</v>
      </c>
      <c r="B12" s="2" t="s">
        <v>143</v>
      </c>
      <c r="C12" s="4" t="n">
        <v>0.24</v>
      </c>
      <c r="D12" s="5" t="n">
        <v>21</v>
      </c>
      <c r="E12" s="5" t="n">
        <v>20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1</v>
      </c>
      <c r="P12" s="5" t="n">
        <v>1</v>
      </c>
      <c r="Q12" s="5" t="n">
        <v>1</v>
      </c>
      <c r="R12" s="5" t="n">
        <v>1</v>
      </c>
      <c r="S12" s="5" t="n">
        <v>1</v>
      </c>
      <c r="T12" s="5" t="n">
        <v>1</v>
      </c>
      <c r="U12" s="8" t="n">
        <f aca="false">IF(E12&gt;0,D12/E12,"")</f>
        <v>1.05</v>
      </c>
      <c r="V12" s="6" t="n">
        <f aca="false">IF(D12&gt;0,G12/D12,"")</f>
        <v>0</v>
      </c>
      <c r="W12" s="4" t="n">
        <f aca="false">IF(D12&gt;0,C12/D12*1000,"")</f>
        <v>11.4285714285714</v>
      </c>
      <c r="X12" s="4" t="str">
        <f aca="false">IF(G12&gt;0,C12/G12,"")</f>
        <v/>
      </c>
      <c r="Y12" s="4" t="str">
        <f aca="false">IF(I12&gt;0,C12/I12,"")</f>
        <v/>
      </c>
      <c r="Z12" s="7" t="str">
        <f aca="false">IF(G12&gt;0,H12/G12,"")</f>
        <v/>
      </c>
      <c r="AA12" s="7" t="str">
        <f aca="false">IF(H12&gt;0,I12/H12,"")</f>
        <v/>
      </c>
      <c r="AB12" s="6" t="n">
        <f aca="false">IF(D12&gt;0,J12/D12,"")</f>
        <v>0.0476190476190476</v>
      </c>
      <c r="AC12" s="7" t="n">
        <f aca="false">IF(D12&gt;0,O12/D12,"")</f>
        <v>0.0476190476190476</v>
      </c>
      <c r="AD12" s="7" t="n">
        <f aca="false">IF(O12&gt;0,S12/O12,"")</f>
        <v>1</v>
      </c>
    </row>
    <row r="13" customFormat="false" ht="15" hidden="false" customHeight="false" outlineLevel="0" collapsed="false">
      <c r="A13" s="2" t="s">
        <v>130</v>
      </c>
      <c r="B13" s="2" t="s">
        <v>144</v>
      </c>
      <c r="C13" s="4" t="n">
        <v>0.13</v>
      </c>
      <c r="D13" s="5" t="n">
        <v>22</v>
      </c>
      <c r="E13" s="5" t="n">
        <v>15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8" t="n">
        <f aca="false">IF(E13&gt;0,D13/E13,"")</f>
        <v>1.46666666666667</v>
      </c>
      <c r="V13" s="6" t="n">
        <f aca="false">IF(D13&gt;0,G13/D13,"")</f>
        <v>0</v>
      </c>
      <c r="W13" s="4" t="n">
        <f aca="false">IF(D13&gt;0,C13/D13*1000,"")</f>
        <v>5.90909090909091</v>
      </c>
      <c r="X13" s="4" t="str">
        <f aca="false">IF(G13&gt;0,C13/G13,"")</f>
        <v/>
      </c>
      <c r="Y13" s="4" t="str">
        <f aca="false">IF(I13&gt;0,C13/I13,"")</f>
        <v/>
      </c>
      <c r="Z13" s="7" t="str">
        <f aca="false">IF(G13&gt;0,H13/G13,"")</f>
        <v/>
      </c>
      <c r="AA13" s="7" t="str">
        <f aca="false">IF(H13&gt;0,I13/H13,"")</f>
        <v/>
      </c>
      <c r="AB13" s="6" t="n">
        <f aca="false">IF(D13&gt;0,J13/D13,"")</f>
        <v>0</v>
      </c>
      <c r="AC13" s="7" t="n">
        <f aca="false">IF(D13&gt;0,O13/D13,"")</f>
        <v>0</v>
      </c>
      <c r="AD13" s="7" t="str">
        <f aca="false">IF(O13&gt;0,S13/O13,"")</f>
        <v/>
      </c>
    </row>
    <row r="14" customFormat="false" ht="15" hidden="false" customHeight="false" outlineLevel="0" collapsed="false">
      <c r="A14" s="2" t="s">
        <v>130</v>
      </c>
      <c r="B14" s="2" t="s">
        <v>145</v>
      </c>
      <c r="C14" s="4" t="n">
        <v>0.07</v>
      </c>
      <c r="D14" s="5" t="n">
        <v>3</v>
      </c>
      <c r="E14" s="5" t="n">
        <v>3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8" t="n">
        <f aca="false">IF(E14&gt;0,D14/E14,"")</f>
        <v>1</v>
      </c>
      <c r="V14" s="6" t="n">
        <f aca="false">IF(D14&gt;0,G14/D14,"")</f>
        <v>0</v>
      </c>
      <c r="W14" s="4" t="n">
        <f aca="false">IF(D14&gt;0,C14/D14*1000,"")</f>
        <v>23.3333333333333</v>
      </c>
      <c r="X14" s="4" t="str">
        <f aca="false">IF(G14&gt;0,C14/G14,"")</f>
        <v/>
      </c>
      <c r="Y14" s="4" t="str">
        <f aca="false">IF(I14&gt;0,C14/I14,"")</f>
        <v/>
      </c>
      <c r="Z14" s="7" t="str">
        <f aca="false">IF(G14&gt;0,H14/G14,"")</f>
        <v/>
      </c>
      <c r="AA14" s="7" t="str">
        <f aca="false">IF(H14&gt;0,I14/H14,"")</f>
        <v/>
      </c>
      <c r="AB14" s="6" t="n">
        <f aca="false">IF(D14&gt;0,J14/D14,"")</f>
        <v>0</v>
      </c>
      <c r="AC14" s="7" t="n">
        <f aca="false">IF(D14&gt;0,O14/D14,"")</f>
        <v>0</v>
      </c>
      <c r="AD14" s="7" t="str">
        <f aca="false">IF(O14&gt;0,S14/O14,"")</f>
        <v/>
      </c>
    </row>
    <row r="15" customFormat="false" ht="15" hidden="false" customHeight="false" outlineLevel="0" collapsed="false">
      <c r="A15" s="2" t="s">
        <v>146</v>
      </c>
      <c r="B15" s="2" t="s">
        <v>146</v>
      </c>
      <c r="C15" s="4" t="n">
        <v>0.05</v>
      </c>
      <c r="D15" s="5" t="n">
        <v>6</v>
      </c>
      <c r="E15" s="5" t="n">
        <v>5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8" t="n">
        <f aca="false">IF(E15&gt;0,D15/E15,"")</f>
        <v>1.2</v>
      </c>
      <c r="V15" s="6" t="n">
        <f aca="false">IF(D15&gt;0,G15/D15,"")</f>
        <v>0</v>
      </c>
      <c r="W15" s="4" t="n">
        <f aca="false">IF(D15&gt;0,C15/D15*1000,"")</f>
        <v>8.33333333333333</v>
      </c>
      <c r="X15" s="4" t="str">
        <f aca="false">IF(G15&gt;0,C15/G15,"")</f>
        <v/>
      </c>
      <c r="Y15" s="4" t="str">
        <f aca="false">IF(I15&gt;0,C15/I15,"")</f>
        <v/>
      </c>
      <c r="Z15" s="7" t="str">
        <f aca="false">IF(G15&gt;0,H15/G15,"")</f>
        <v/>
      </c>
      <c r="AA15" s="7" t="str">
        <f aca="false">IF(H15&gt;0,I15/H15,"")</f>
        <v/>
      </c>
      <c r="AB15" s="6" t="n">
        <f aca="false">IF(D15&gt;0,J15/D15,"")</f>
        <v>0</v>
      </c>
      <c r="AC15" s="7" t="n">
        <f aca="false">IF(D15&gt;0,O15/D15,"")</f>
        <v>0</v>
      </c>
      <c r="AD15" s="7" t="str">
        <f aca="false">IF(O15&gt;0,S15/O15,"")</f>
        <v/>
      </c>
    </row>
    <row r="16" customFormat="false" ht="15" hidden="false" customHeight="false" outlineLevel="0" collapsed="false">
      <c r="A16" s="11" t="s">
        <v>52</v>
      </c>
      <c r="B16" s="11"/>
      <c r="C16" s="12" t="n">
        <f aca="false">SUM(C2:C15)</f>
        <v>488.01</v>
      </c>
      <c r="D16" s="13" t="n">
        <f aca="false">SUM(D2:D15)</f>
        <v>5230</v>
      </c>
      <c r="E16" s="13"/>
      <c r="F16" s="13" t="n">
        <f aca="false">SUM(F2:F15)</f>
        <v>293</v>
      </c>
      <c r="G16" s="13" t="n">
        <f aca="false">SUM(G2:G15)</f>
        <v>236</v>
      </c>
      <c r="H16" s="13" t="n">
        <f aca="false">SUM(H2:H15)</f>
        <v>183</v>
      </c>
      <c r="I16" s="13" t="n">
        <f aca="false">SUM(I2:I15)</f>
        <v>4</v>
      </c>
      <c r="J16" s="13" t="n">
        <f aca="false">SUM(J2:J15)</f>
        <v>1663</v>
      </c>
      <c r="K16" s="13" t="n">
        <f aca="false">SUM(K2:K15)</f>
        <v>27</v>
      </c>
      <c r="L16" s="13" t="n">
        <f aca="false">SUM(L2:L15)</f>
        <v>0</v>
      </c>
      <c r="M16" s="13" t="n">
        <f aca="false">SUM(M2:M15)</f>
        <v>6</v>
      </c>
      <c r="N16" s="13" t="n">
        <f aca="false">SUM(N2:N15)</f>
        <v>6</v>
      </c>
      <c r="O16" s="13" t="n">
        <f aca="false">SUM(O2:O15)</f>
        <v>1388</v>
      </c>
      <c r="P16" s="13" t="n">
        <f aca="false">SUM(P2:P15)</f>
        <v>1069</v>
      </c>
      <c r="Q16" s="13" t="n">
        <f aca="false">SUM(Q2:Q15)</f>
        <v>430</v>
      </c>
      <c r="R16" s="13" t="n">
        <f aca="false">SUM(R2:R15)</f>
        <v>223</v>
      </c>
      <c r="S16" s="13" t="n">
        <f aca="false">SUM(S2:S15)</f>
        <v>123</v>
      </c>
      <c r="T16" s="13" t="n">
        <f aca="false">SUM(T2:T15)</f>
        <v>161</v>
      </c>
      <c r="U16" s="14" t="str">
        <f aca="false">IF(E16&gt;0,D16/E16,"")</f>
        <v/>
      </c>
      <c r="V16" s="15" t="n">
        <f aca="false">IF(D16&gt;0,G16/D16,"")</f>
        <v>0.0451242829827916</v>
      </c>
      <c r="W16" s="12" t="n">
        <f aca="false">IF(D16&gt;0,C16/D16*1000,"")</f>
        <v>93.3097514340344</v>
      </c>
      <c r="X16" s="12" t="n">
        <f aca="false">IF(G16&gt;0,C16/G16,"")</f>
        <v>2.06783898305085</v>
      </c>
      <c r="Y16" s="12" t="n">
        <f aca="false">IF(I16&gt;0,C16/I16,"")</f>
        <v>122.0025</v>
      </c>
      <c r="Z16" s="16" t="n">
        <f aca="false">IF(G16&gt;0,H16/G16,"")</f>
        <v>0.775423728813559</v>
      </c>
      <c r="AA16" s="16" t="n">
        <f aca="false">IF(H16&gt;0,I16/H16,"")</f>
        <v>0.0218579234972678</v>
      </c>
      <c r="AB16" s="15" t="n">
        <f aca="false">IF(D16&gt;0,J16/D16,"")</f>
        <v>0.317973231357553</v>
      </c>
      <c r="AC16" s="16" t="n">
        <f aca="false">IF(D16&gt;0,O16/D16,"")</f>
        <v>0.265391969407266</v>
      </c>
      <c r="AD16" s="16" t="n">
        <f aca="false">IF(O16&gt;0,S16/O16,"")</f>
        <v>0.0886167146974063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147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148</v>
      </c>
      <c r="B2" s="4" t="n">
        <v>343.41</v>
      </c>
      <c r="C2" s="5" t="n">
        <v>3863</v>
      </c>
      <c r="D2" s="5" t="n">
        <v>2446</v>
      </c>
      <c r="E2" s="5" t="n">
        <v>185</v>
      </c>
      <c r="F2" s="5" t="n">
        <v>134</v>
      </c>
      <c r="G2" s="5" t="n">
        <v>113</v>
      </c>
      <c r="H2" s="5" t="n">
        <v>2</v>
      </c>
      <c r="I2" s="5" t="n">
        <v>1263</v>
      </c>
      <c r="J2" s="5" t="n">
        <v>23</v>
      </c>
      <c r="K2" s="5" t="n">
        <v>0</v>
      </c>
      <c r="L2" s="5" t="n">
        <v>5</v>
      </c>
      <c r="M2" s="5" t="n">
        <v>6</v>
      </c>
      <c r="N2" s="5" t="n">
        <v>1095</v>
      </c>
      <c r="O2" s="5" t="n">
        <v>841</v>
      </c>
      <c r="P2" s="5" t="n">
        <v>301</v>
      </c>
      <c r="Q2" s="5" t="n">
        <v>144</v>
      </c>
      <c r="R2" s="5" t="n">
        <v>76</v>
      </c>
      <c r="S2" s="5" t="n">
        <v>85</v>
      </c>
      <c r="T2" s="8" t="n">
        <f aca="false">IF(D2&gt;0,C2/D2,"")</f>
        <v>1.57931316434996</v>
      </c>
      <c r="U2" s="6" t="n">
        <f aca="false">IF(C2&gt;0,F2/C2,"")</f>
        <v>0.0346880662697386</v>
      </c>
      <c r="V2" s="4" t="n">
        <f aca="false">IF(C2&gt;0,B2/C2*1000,"")</f>
        <v>88.8972301320218</v>
      </c>
      <c r="W2" s="4" t="n">
        <f aca="false">IF(F2&gt;0,B2/F2,"")</f>
        <v>2.56276119402985</v>
      </c>
      <c r="X2" s="4" t="n">
        <f aca="false">IF(H2&gt;0,B2/H2,"")</f>
        <v>171.705</v>
      </c>
      <c r="Y2" s="7" t="n">
        <f aca="false">IF(F2&gt;0,G2/F2,"")</f>
        <v>0.843283582089552</v>
      </c>
      <c r="Z2" s="7" t="n">
        <f aca="false">IF(G2&gt;0,H2/G2,"")</f>
        <v>0.0176991150442478</v>
      </c>
      <c r="AA2" s="6" t="n">
        <f aca="false">IF(C2&gt;0,I2/C2,"")</f>
        <v>0.326947967900595</v>
      </c>
      <c r="AB2" s="7" t="n">
        <f aca="false">IF(C2&gt;0,N2/C2,"")</f>
        <v>0.283458451980326</v>
      </c>
      <c r="AC2" s="7" t="n">
        <f aca="false">IF(N2&gt;0,R2/N2,"")</f>
        <v>0.0694063926940639</v>
      </c>
    </row>
    <row r="3" customFormat="false" ht="15" hidden="false" customHeight="false" outlineLevel="0" collapsed="false">
      <c r="A3" s="2" t="s">
        <v>149</v>
      </c>
      <c r="B3" s="4" t="n">
        <v>130.55</v>
      </c>
      <c r="C3" s="5" t="n">
        <v>1235</v>
      </c>
      <c r="D3" s="5" t="n">
        <v>786</v>
      </c>
      <c r="E3" s="5" t="n">
        <v>103</v>
      </c>
      <c r="F3" s="5" t="n">
        <v>97</v>
      </c>
      <c r="G3" s="5" t="n">
        <v>65</v>
      </c>
      <c r="H3" s="5" t="n">
        <v>1</v>
      </c>
      <c r="I3" s="5" t="n">
        <v>366</v>
      </c>
      <c r="J3" s="5" t="n">
        <v>4</v>
      </c>
      <c r="K3" s="5" t="n">
        <v>0</v>
      </c>
      <c r="L3" s="5" t="n">
        <v>1</v>
      </c>
      <c r="M3" s="5" t="n">
        <v>0</v>
      </c>
      <c r="N3" s="5" t="n">
        <v>264</v>
      </c>
      <c r="O3" s="5" t="n">
        <v>205</v>
      </c>
      <c r="P3" s="5" t="n">
        <v>114</v>
      </c>
      <c r="Q3" s="5" t="n">
        <v>70</v>
      </c>
      <c r="R3" s="5" t="n">
        <v>40</v>
      </c>
      <c r="S3" s="5" t="n">
        <v>65</v>
      </c>
      <c r="T3" s="8" t="n">
        <f aca="false">IF(D3&gt;0,C3/D3,"")</f>
        <v>1.57124681933842</v>
      </c>
      <c r="U3" s="6" t="n">
        <f aca="false">IF(C3&gt;0,F3/C3,"")</f>
        <v>0.0785425101214575</v>
      </c>
      <c r="V3" s="4" t="n">
        <f aca="false">IF(C3&gt;0,B3/C3*1000,"")</f>
        <v>105.708502024292</v>
      </c>
      <c r="W3" s="4" t="n">
        <f aca="false">IF(F3&gt;0,B3/F3,"")</f>
        <v>1.34587628865979</v>
      </c>
      <c r="X3" s="4" t="n">
        <f aca="false">IF(H3&gt;0,B3/H3,"")</f>
        <v>130.55</v>
      </c>
      <c r="Y3" s="7" t="n">
        <f aca="false">IF(F3&gt;0,G3/F3,"")</f>
        <v>0.670103092783505</v>
      </c>
      <c r="Z3" s="7" t="n">
        <f aca="false">IF(G3&gt;0,H3/G3,"")</f>
        <v>0.0153846153846154</v>
      </c>
      <c r="AA3" s="6" t="n">
        <f aca="false">IF(C3&gt;0,I3/C3,"")</f>
        <v>0.296356275303644</v>
      </c>
      <c r="AB3" s="7" t="n">
        <f aca="false">IF(C3&gt;0,N3/C3,"")</f>
        <v>0.213765182186235</v>
      </c>
      <c r="AC3" s="7" t="n">
        <f aca="false">IF(N3&gt;0,R3/N3,"")</f>
        <v>0.151515151515152</v>
      </c>
    </row>
    <row r="4" customFormat="false" ht="15" hidden="false" customHeight="false" outlineLevel="0" collapsed="false">
      <c r="A4" s="2" t="s">
        <v>150</v>
      </c>
      <c r="B4" s="4" t="n">
        <v>8.42</v>
      </c>
      <c r="C4" s="5" t="n">
        <v>54</v>
      </c>
      <c r="D4" s="5" t="n">
        <v>40</v>
      </c>
      <c r="E4" s="5" t="n">
        <v>2</v>
      </c>
      <c r="F4" s="5" t="n">
        <v>1</v>
      </c>
      <c r="G4" s="5" t="n">
        <v>1</v>
      </c>
      <c r="H4" s="5" t="n">
        <v>1</v>
      </c>
      <c r="I4" s="5" t="n">
        <v>13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12</v>
      </c>
      <c r="O4" s="5" t="n">
        <v>8</v>
      </c>
      <c r="P4" s="5" t="n">
        <v>3</v>
      </c>
      <c r="Q4" s="5" t="n">
        <v>1</v>
      </c>
      <c r="R4" s="5" t="n">
        <v>0</v>
      </c>
      <c r="S4" s="5" t="n">
        <v>0</v>
      </c>
      <c r="T4" s="8" t="n">
        <f aca="false">IF(D4&gt;0,C4/D4,"")</f>
        <v>1.35</v>
      </c>
      <c r="U4" s="6" t="n">
        <f aca="false">IF(C4&gt;0,F4/C4,"")</f>
        <v>0.0185185185185185</v>
      </c>
      <c r="V4" s="4" t="n">
        <f aca="false">IF(C4&gt;0,B4/C4*1000,"")</f>
        <v>155.925925925926</v>
      </c>
      <c r="W4" s="4" t="n">
        <f aca="false">IF(F4&gt;0,B4/F4,"")</f>
        <v>8.42</v>
      </c>
      <c r="X4" s="4" t="n">
        <f aca="false">IF(H4&gt;0,B4/H4,"")</f>
        <v>8.42</v>
      </c>
      <c r="Y4" s="7" t="n">
        <f aca="false">IF(F4&gt;0,G4/F4,"")</f>
        <v>1</v>
      </c>
      <c r="Z4" s="7" t="n">
        <f aca="false">IF(G4&gt;0,H4/G4,"")</f>
        <v>1</v>
      </c>
      <c r="AA4" s="6" t="n">
        <f aca="false">IF(C4&gt;0,I4/C4,"")</f>
        <v>0.240740740740741</v>
      </c>
      <c r="AB4" s="7" t="n">
        <f aca="false">IF(C4&gt;0,N4/C4,"")</f>
        <v>0.222222222222222</v>
      </c>
      <c r="AC4" s="7" t="n">
        <f aca="false">IF(N4&gt;0,R4/N4,"")</f>
        <v>0</v>
      </c>
    </row>
    <row r="5" customFormat="false" ht="15" hidden="false" customHeight="false" outlineLevel="0" collapsed="false">
      <c r="A5" s="2" t="s">
        <v>151</v>
      </c>
      <c r="B5" s="4" t="n">
        <v>3.28</v>
      </c>
      <c r="C5" s="5" t="n">
        <v>27</v>
      </c>
      <c r="D5" s="5" t="n">
        <v>17</v>
      </c>
      <c r="E5" s="5" t="n">
        <v>3</v>
      </c>
      <c r="F5" s="5" t="n">
        <v>4</v>
      </c>
      <c r="G5" s="5" t="n">
        <v>4</v>
      </c>
      <c r="H5" s="5" t="n">
        <v>0</v>
      </c>
      <c r="I5" s="5" t="n">
        <v>18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14</v>
      </c>
      <c r="O5" s="5" t="n">
        <v>13</v>
      </c>
      <c r="P5" s="5" t="n">
        <v>10</v>
      </c>
      <c r="Q5" s="5" t="n">
        <v>7</v>
      </c>
      <c r="R5" s="5" t="n">
        <v>7</v>
      </c>
      <c r="S5" s="5" t="n">
        <v>10</v>
      </c>
      <c r="T5" s="8" t="n">
        <f aca="false">IF(D5&gt;0,C5/D5,"")</f>
        <v>1.58823529411765</v>
      </c>
      <c r="U5" s="6" t="n">
        <f aca="false">IF(C5&gt;0,F5/C5,"")</f>
        <v>0.148148148148148</v>
      </c>
      <c r="V5" s="4" t="n">
        <f aca="false">IF(C5&gt;0,B5/C5*1000,"")</f>
        <v>121.481481481481</v>
      </c>
      <c r="W5" s="4" t="n">
        <f aca="false">IF(F5&gt;0,B5/F5,"")</f>
        <v>0.82</v>
      </c>
      <c r="X5" s="4" t="str">
        <f aca="false">IF(H5&gt;0,B5/H5,"")</f>
        <v/>
      </c>
      <c r="Y5" s="7" t="n">
        <f aca="false">IF(F5&gt;0,G5/F5,"")</f>
        <v>1</v>
      </c>
      <c r="Z5" s="7" t="n">
        <f aca="false">IF(G5&gt;0,H5/G5,"")</f>
        <v>0</v>
      </c>
      <c r="AA5" s="6" t="n">
        <f aca="false">IF(C5&gt;0,I5/C5,"")</f>
        <v>0.666666666666667</v>
      </c>
      <c r="AB5" s="7" t="n">
        <f aca="false">IF(C5&gt;0,N5/C5,"")</f>
        <v>0.518518518518519</v>
      </c>
      <c r="AC5" s="7" t="n">
        <f aca="false">IF(N5&gt;0,R5/N5,"")</f>
        <v>0.5</v>
      </c>
    </row>
    <row r="6" customFormat="false" ht="15" hidden="false" customHeight="false" outlineLevel="0" collapsed="false">
      <c r="A6" s="2" t="s">
        <v>152</v>
      </c>
      <c r="B6" s="4" t="n">
        <v>2.29</v>
      </c>
      <c r="C6" s="5" t="n">
        <v>44</v>
      </c>
      <c r="D6" s="5" t="n">
        <v>34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3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3</v>
      </c>
      <c r="O6" s="5" t="n">
        <v>2</v>
      </c>
      <c r="P6" s="5" t="n">
        <v>2</v>
      </c>
      <c r="Q6" s="5" t="n">
        <v>1</v>
      </c>
      <c r="R6" s="5" t="n">
        <v>0</v>
      </c>
      <c r="S6" s="5" t="n">
        <v>1</v>
      </c>
      <c r="T6" s="8" t="n">
        <f aca="false">IF(D6&gt;0,C6/D6,"")</f>
        <v>1.29411764705882</v>
      </c>
      <c r="U6" s="6" t="n">
        <f aca="false">IF(C6&gt;0,F6/C6,"")</f>
        <v>0</v>
      </c>
      <c r="V6" s="4" t="n">
        <f aca="false">IF(C6&gt;0,B6/C6*1000,"")</f>
        <v>52.0454545454546</v>
      </c>
      <c r="W6" s="4" t="str">
        <f aca="false">IF(F6&gt;0,B6/F6,"")</f>
        <v/>
      </c>
      <c r="X6" s="4" t="str">
        <f aca="false">IF(H6&gt;0,B6/H6,"")</f>
        <v/>
      </c>
      <c r="Y6" s="7" t="str">
        <f aca="false">IF(F6&gt;0,G6/F6,"")</f>
        <v/>
      </c>
      <c r="Z6" s="7" t="str">
        <f aca="false">IF(G6&gt;0,H6/G6,"")</f>
        <v/>
      </c>
      <c r="AA6" s="6" t="n">
        <f aca="false">IF(C6&gt;0,I6/C6,"")</f>
        <v>0.0681818181818182</v>
      </c>
      <c r="AB6" s="7" t="n">
        <f aca="false">IF(C6&gt;0,N6/C6,"")</f>
        <v>0.0681818181818182</v>
      </c>
      <c r="AC6" s="7" t="n">
        <f aca="false">IF(N6&gt;0,R6/N6,"")</f>
        <v>0</v>
      </c>
    </row>
    <row r="7" customFormat="false" ht="15" hidden="false" customHeight="false" outlineLevel="0" collapsed="false">
      <c r="A7" s="2" t="s">
        <v>153</v>
      </c>
      <c r="B7" s="4" t="n">
        <v>0.06</v>
      </c>
      <c r="C7" s="5" t="n">
        <v>7</v>
      </c>
      <c r="D7" s="5" t="n">
        <v>6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8" t="n">
        <f aca="false">IF(D7&gt;0,C7/D7,"")</f>
        <v>1.16666666666667</v>
      </c>
      <c r="U7" s="6" t="n">
        <f aca="false">IF(C7&gt;0,F7/C7,"")</f>
        <v>0</v>
      </c>
      <c r="V7" s="4" t="n">
        <f aca="false">IF(C7&gt;0,B7/C7*1000,"")</f>
        <v>8.57142857142857</v>
      </c>
      <c r="W7" s="4" t="str">
        <f aca="false">IF(F7&gt;0,B7/F7,"")</f>
        <v/>
      </c>
      <c r="X7" s="4" t="str">
        <f aca="false">IF(H7&gt;0,B7/H7,"")</f>
        <v/>
      </c>
      <c r="Y7" s="7" t="str">
        <f aca="false">IF(F7&gt;0,G7/F7,"")</f>
        <v/>
      </c>
      <c r="Z7" s="7" t="str">
        <f aca="false">IF(G7&gt;0,H7/G7,"")</f>
        <v/>
      </c>
      <c r="AA7" s="6" t="n">
        <f aca="false">IF(C7&gt;0,I7/C7,"")</f>
        <v>0</v>
      </c>
      <c r="AB7" s="7" t="n">
        <f aca="false">IF(C7&gt;0,N7/C7,"")</f>
        <v>0</v>
      </c>
      <c r="AC7" s="7" t="str">
        <f aca="false">IF(N7&gt;0,R7/N7,"")</f>
        <v/>
      </c>
    </row>
    <row r="8" customFormat="false" ht="15" hidden="false" customHeight="false" outlineLevel="0" collapsed="false">
      <c r="A8" s="11" t="s">
        <v>52</v>
      </c>
      <c r="B8" s="12" t="n">
        <f aca="false">SUM(B2:B7)</f>
        <v>488.01</v>
      </c>
      <c r="C8" s="13" t="n">
        <f aca="false">SUM(C2:C7)</f>
        <v>5230</v>
      </c>
      <c r="D8" s="13"/>
      <c r="E8" s="13" t="n">
        <f aca="false">SUM(E2:E7)</f>
        <v>293</v>
      </c>
      <c r="F8" s="13" t="n">
        <f aca="false">SUM(F2:F7)</f>
        <v>236</v>
      </c>
      <c r="G8" s="13" t="n">
        <f aca="false">SUM(G2:G7)</f>
        <v>183</v>
      </c>
      <c r="H8" s="13" t="n">
        <f aca="false">SUM(H2:H7)</f>
        <v>4</v>
      </c>
      <c r="I8" s="13" t="n">
        <f aca="false">SUM(I2:I7)</f>
        <v>1663</v>
      </c>
      <c r="J8" s="13" t="n">
        <f aca="false">SUM(J2:J7)</f>
        <v>27</v>
      </c>
      <c r="K8" s="13" t="n">
        <f aca="false">SUM(K2:K7)</f>
        <v>0</v>
      </c>
      <c r="L8" s="13" t="n">
        <f aca="false">SUM(L2:L7)</f>
        <v>6</v>
      </c>
      <c r="M8" s="13" t="n">
        <f aca="false">SUM(M2:M7)</f>
        <v>6</v>
      </c>
      <c r="N8" s="13" t="n">
        <f aca="false">SUM(N2:N7)</f>
        <v>1388</v>
      </c>
      <c r="O8" s="13" t="n">
        <f aca="false">SUM(O2:O7)</f>
        <v>1069</v>
      </c>
      <c r="P8" s="13" t="n">
        <f aca="false">SUM(P2:P7)</f>
        <v>430</v>
      </c>
      <c r="Q8" s="13" t="n">
        <f aca="false">SUM(Q2:Q7)</f>
        <v>223</v>
      </c>
      <c r="R8" s="13" t="n">
        <f aca="false">SUM(R2:R7)</f>
        <v>123</v>
      </c>
      <c r="S8" s="13" t="n">
        <f aca="false">SUM(S2:S7)</f>
        <v>161</v>
      </c>
      <c r="T8" s="14" t="str">
        <f aca="false">IF(D8&gt;0,C8/D8,"")</f>
        <v/>
      </c>
      <c r="U8" s="15" t="n">
        <f aca="false">IF(C8&gt;0,F8/C8,"")</f>
        <v>0.0451242829827916</v>
      </c>
      <c r="V8" s="12" t="n">
        <f aca="false">IF(C8&gt;0,B8/C8*1000,"")</f>
        <v>93.3097514340344</v>
      </c>
      <c r="W8" s="12" t="n">
        <f aca="false">IF(F8&gt;0,B8/F8,"")</f>
        <v>2.06783898305085</v>
      </c>
      <c r="X8" s="12" t="n">
        <f aca="false">IF(H8&gt;0,B8/H8,"")</f>
        <v>122.0025</v>
      </c>
      <c r="Y8" s="16" t="n">
        <f aca="false">IF(F8&gt;0,G8/F8,"")</f>
        <v>0.775423728813559</v>
      </c>
      <c r="Z8" s="16" t="n">
        <f aca="false">IF(G8&gt;0,H8/G8,"")</f>
        <v>0.0218579234972678</v>
      </c>
      <c r="AA8" s="15" t="n">
        <f aca="false">IF(C8&gt;0,I8/C8,"")</f>
        <v>0.317973231357553</v>
      </c>
      <c r="AB8" s="16" t="n">
        <f aca="false">IF(C8&gt;0,N8/C8,"")</f>
        <v>0.265391969407266</v>
      </c>
      <c r="AC8" s="16" t="n">
        <f aca="false">IF(N8&gt;0,R8/N8,"")</f>
        <v>0.0886167146974063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154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155</v>
      </c>
      <c r="B2" s="4" t="n">
        <v>35.29</v>
      </c>
      <c r="C2" s="5" t="n">
        <v>323</v>
      </c>
      <c r="D2" s="5"/>
      <c r="E2" s="5" t="n">
        <v>15</v>
      </c>
      <c r="F2" s="5" t="n">
        <v>11</v>
      </c>
      <c r="G2" s="5" t="n">
        <v>8</v>
      </c>
      <c r="H2" s="5" t="n">
        <v>0</v>
      </c>
      <c r="I2" s="5" t="n">
        <v>96</v>
      </c>
      <c r="J2" s="5" t="n">
        <v>1</v>
      </c>
      <c r="K2" s="5" t="n">
        <v>0</v>
      </c>
      <c r="L2" s="5" t="n">
        <v>0</v>
      </c>
      <c r="M2" s="5" t="n">
        <v>0</v>
      </c>
      <c r="N2" s="5" t="n">
        <v>84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 t="str">
        <f aca="false">IF(D2&gt;0,C2/D2,"")</f>
        <v/>
      </c>
      <c r="U2" s="6" t="n">
        <f aca="false">IF(C2&gt;0,F2/C2,"")</f>
        <v>0.0340557275541796</v>
      </c>
      <c r="V2" s="4" t="n">
        <f aca="false">IF(C2&gt;0,B2/C2*1000,"")</f>
        <v>109.256965944272</v>
      </c>
      <c r="W2" s="4" t="n">
        <f aca="false">IF(F2&gt;0,B2/F2,"")</f>
        <v>3.20818181818182</v>
      </c>
      <c r="X2" s="4" t="str">
        <f aca="false">IF(H2&gt;0,B2/H2,"")</f>
        <v/>
      </c>
      <c r="Y2" s="7" t="n">
        <f aca="false">IF(F2&gt;0,G2/F2,"")</f>
        <v>0.727272727272727</v>
      </c>
      <c r="Z2" s="7" t="n">
        <f aca="false">IF(G2&gt;0,H2/G2,"")</f>
        <v>0</v>
      </c>
      <c r="AA2" s="6" t="n">
        <f aca="false">IF(C2&gt;0,I2/C2,"")</f>
        <v>0.297213622291022</v>
      </c>
      <c r="AB2" s="7" t="n">
        <f aca="false">IF(C2&gt;0,N2/C2,"")</f>
        <v>0.260061919504644</v>
      </c>
      <c r="AC2" s="7" t="n">
        <f aca="false">IF(N2&gt;0,R2/N2,"")</f>
        <v>0</v>
      </c>
    </row>
    <row r="3" customFormat="false" ht="15" hidden="false" customHeight="false" outlineLevel="0" collapsed="false">
      <c r="A3" s="2" t="s">
        <v>156</v>
      </c>
      <c r="B3" s="4" t="n">
        <v>20.27</v>
      </c>
      <c r="C3" s="5" t="n">
        <v>150</v>
      </c>
      <c r="D3" s="5"/>
      <c r="E3" s="5" t="n">
        <v>7</v>
      </c>
      <c r="F3" s="5" t="n">
        <v>6</v>
      </c>
      <c r="G3" s="5" t="n">
        <v>4</v>
      </c>
      <c r="H3" s="5" t="n">
        <v>0</v>
      </c>
      <c r="I3" s="5" t="n">
        <v>39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33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str">
        <f aca="false">IF(D3&gt;0,C3/D3,"")</f>
        <v/>
      </c>
      <c r="U3" s="6" t="n">
        <f aca="false">IF(C3&gt;0,F3/C3,"")</f>
        <v>0.04</v>
      </c>
      <c r="V3" s="4" t="n">
        <f aca="false">IF(C3&gt;0,B3/C3*1000,"")</f>
        <v>135.133333333333</v>
      </c>
      <c r="W3" s="4" t="n">
        <f aca="false">IF(F3&gt;0,B3/F3,"")</f>
        <v>3.37833333333333</v>
      </c>
      <c r="X3" s="4" t="str">
        <f aca="false">IF(H3&gt;0,B3/H3,"")</f>
        <v/>
      </c>
      <c r="Y3" s="7" t="n">
        <f aca="false">IF(F3&gt;0,G3/F3,"")</f>
        <v>0.666666666666667</v>
      </c>
      <c r="Z3" s="7" t="n">
        <f aca="false">IF(G3&gt;0,H3/G3,"")</f>
        <v>0</v>
      </c>
      <c r="AA3" s="6" t="n">
        <f aca="false">IF(C3&gt;0,I3/C3,"")</f>
        <v>0.26</v>
      </c>
      <c r="AB3" s="7" t="n">
        <f aca="false">IF(C3&gt;0,N3/C3,"")</f>
        <v>0.22</v>
      </c>
      <c r="AC3" s="7" t="n">
        <f aca="false">IF(N3&gt;0,R3/N3,"")</f>
        <v>0</v>
      </c>
    </row>
    <row r="4" customFormat="false" ht="15" hidden="false" customHeight="false" outlineLevel="0" collapsed="false">
      <c r="A4" s="2" t="s">
        <v>157</v>
      </c>
      <c r="B4" s="4" t="n">
        <v>11.53</v>
      </c>
      <c r="C4" s="5" t="n">
        <v>148</v>
      </c>
      <c r="D4" s="5"/>
      <c r="E4" s="5" t="n">
        <v>9</v>
      </c>
      <c r="F4" s="5" t="n">
        <v>6</v>
      </c>
      <c r="G4" s="5" t="n">
        <v>2</v>
      </c>
      <c r="H4" s="5" t="n">
        <v>0</v>
      </c>
      <c r="I4" s="5" t="n">
        <v>45</v>
      </c>
      <c r="J4" s="5" t="n">
        <v>1</v>
      </c>
      <c r="K4" s="5" t="n">
        <v>0</v>
      </c>
      <c r="L4" s="5" t="n">
        <v>0</v>
      </c>
      <c r="M4" s="5" t="n">
        <v>0</v>
      </c>
      <c r="N4" s="5" t="n">
        <v>38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 t="str">
        <f aca="false">IF(D4&gt;0,C4/D4,"")</f>
        <v/>
      </c>
      <c r="U4" s="6" t="n">
        <f aca="false">IF(C4&gt;0,F4/C4,"")</f>
        <v>0.0405405405405405</v>
      </c>
      <c r="V4" s="4" t="n">
        <f aca="false">IF(C4&gt;0,B4/C4*1000,"")</f>
        <v>77.9054054054054</v>
      </c>
      <c r="W4" s="4" t="n">
        <f aca="false">IF(F4&gt;0,B4/F4,"")</f>
        <v>1.92166666666667</v>
      </c>
      <c r="X4" s="4" t="str">
        <f aca="false">IF(H4&gt;0,B4/H4,"")</f>
        <v/>
      </c>
      <c r="Y4" s="7" t="n">
        <f aca="false">IF(F4&gt;0,G4/F4,"")</f>
        <v>0.333333333333333</v>
      </c>
      <c r="Z4" s="7" t="n">
        <f aca="false">IF(G4&gt;0,H4/G4,"")</f>
        <v>0</v>
      </c>
      <c r="AA4" s="6" t="n">
        <f aca="false">IF(C4&gt;0,I4/C4,"")</f>
        <v>0.304054054054054</v>
      </c>
      <c r="AB4" s="7" t="n">
        <f aca="false">IF(C4&gt;0,N4/C4,"")</f>
        <v>0.256756756756757</v>
      </c>
      <c r="AC4" s="7" t="n">
        <f aca="false">IF(N4&gt;0,R4/N4,"")</f>
        <v>0</v>
      </c>
    </row>
    <row r="5" customFormat="false" ht="15" hidden="false" customHeight="false" outlineLevel="0" collapsed="false">
      <c r="A5" s="2" t="s">
        <v>158</v>
      </c>
      <c r="B5" s="4" t="n">
        <v>9.23</v>
      </c>
      <c r="C5" s="5" t="n">
        <v>84</v>
      </c>
      <c r="D5" s="5"/>
      <c r="E5" s="5" t="n">
        <v>2</v>
      </c>
      <c r="F5" s="5" t="n">
        <v>2</v>
      </c>
      <c r="G5" s="5" t="n">
        <v>2</v>
      </c>
      <c r="H5" s="5" t="n">
        <v>0</v>
      </c>
      <c r="I5" s="5" t="n">
        <v>20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18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 t="str">
        <f aca="false">IF(D5&gt;0,C5/D5,"")</f>
        <v/>
      </c>
      <c r="U5" s="6" t="n">
        <f aca="false">IF(C5&gt;0,F5/C5,"")</f>
        <v>0.0238095238095238</v>
      </c>
      <c r="V5" s="4" t="n">
        <f aca="false">IF(C5&gt;0,B5/C5*1000,"")</f>
        <v>109.880952380952</v>
      </c>
      <c r="W5" s="4" t="n">
        <f aca="false">IF(F5&gt;0,B5/F5,"")</f>
        <v>4.615</v>
      </c>
      <c r="X5" s="4" t="str">
        <f aca="false">IF(H5&gt;0,B5/H5,"")</f>
        <v/>
      </c>
      <c r="Y5" s="7" t="n">
        <f aca="false">IF(F5&gt;0,G5/F5,"")</f>
        <v>1</v>
      </c>
      <c r="Z5" s="7" t="n">
        <f aca="false">IF(G5&gt;0,H5/G5,"")</f>
        <v>0</v>
      </c>
      <c r="AA5" s="6" t="n">
        <f aca="false">IF(C5&gt;0,I5/C5,"")</f>
        <v>0.238095238095238</v>
      </c>
      <c r="AB5" s="7" t="n">
        <f aca="false">IF(C5&gt;0,N5/C5,"")</f>
        <v>0.214285714285714</v>
      </c>
      <c r="AC5" s="7" t="n">
        <f aca="false">IF(N5&gt;0,R5/N5,"")</f>
        <v>0</v>
      </c>
    </row>
    <row r="6" customFormat="false" ht="15" hidden="false" customHeight="false" outlineLevel="0" collapsed="false">
      <c r="A6" s="2" t="s">
        <v>159</v>
      </c>
      <c r="B6" s="4" t="n">
        <v>10.94</v>
      </c>
      <c r="C6" s="5" t="n">
        <v>97</v>
      </c>
      <c r="D6" s="5"/>
      <c r="E6" s="5" t="n">
        <v>16</v>
      </c>
      <c r="F6" s="5" t="n">
        <v>12</v>
      </c>
      <c r="G6" s="5" t="n">
        <v>10</v>
      </c>
      <c r="H6" s="5" t="n">
        <v>0</v>
      </c>
      <c r="I6" s="5" t="n">
        <v>41</v>
      </c>
      <c r="J6" s="5" t="n">
        <v>1</v>
      </c>
      <c r="K6" s="5" t="n">
        <v>0</v>
      </c>
      <c r="L6" s="5" t="n">
        <v>1</v>
      </c>
      <c r="M6" s="5" t="n">
        <v>0</v>
      </c>
      <c r="N6" s="5" t="n">
        <v>27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 t="str">
        <f aca="false">IF(D6&gt;0,C6/D6,"")</f>
        <v/>
      </c>
      <c r="U6" s="6" t="n">
        <f aca="false">IF(C6&gt;0,F6/C6,"")</f>
        <v>0.123711340206186</v>
      </c>
      <c r="V6" s="4" t="n">
        <f aca="false">IF(C6&gt;0,B6/C6*1000,"")</f>
        <v>112.783505154639</v>
      </c>
      <c r="W6" s="4" t="n">
        <f aca="false">IF(F6&gt;0,B6/F6,"")</f>
        <v>0.911666666666667</v>
      </c>
      <c r="X6" s="4" t="str">
        <f aca="false">IF(H6&gt;0,B6/H6,"")</f>
        <v/>
      </c>
      <c r="Y6" s="7" t="n">
        <f aca="false">IF(F6&gt;0,G6/F6,"")</f>
        <v>0.833333333333333</v>
      </c>
      <c r="Z6" s="7" t="n">
        <f aca="false">IF(G6&gt;0,H6/G6,"")</f>
        <v>0</v>
      </c>
      <c r="AA6" s="6" t="n">
        <f aca="false">IF(C6&gt;0,I6/C6,"")</f>
        <v>0.422680412371134</v>
      </c>
      <c r="AB6" s="7" t="n">
        <f aca="false">IF(C6&gt;0,N6/C6,"")</f>
        <v>0.278350515463918</v>
      </c>
      <c r="AC6" s="7" t="n">
        <f aca="false">IF(N6&gt;0,R6/N6,"")</f>
        <v>0</v>
      </c>
    </row>
    <row r="7" customFormat="false" ht="15" hidden="false" customHeight="false" outlineLevel="0" collapsed="false">
      <c r="A7" s="2" t="s">
        <v>160</v>
      </c>
      <c r="B7" s="4" t="n">
        <v>8.93</v>
      </c>
      <c r="C7" s="5" t="n">
        <v>95</v>
      </c>
      <c r="D7" s="5"/>
      <c r="E7" s="5" t="n">
        <v>2</v>
      </c>
      <c r="F7" s="5" t="n">
        <v>0</v>
      </c>
      <c r="G7" s="5" t="n">
        <v>0</v>
      </c>
      <c r="H7" s="5" t="n">
        <v>1</v>
      </c>
      <c r="I7" s="5" t="n">
        <v>28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28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8" t="str">
        <f aca="false">IF(D7&gt;0,C7/D7,"")</f>
        <v/>
      </c>
      <c r="U7" s="6" t="n">
        <f aca="false">IF(C7&gt;0,F7/C7,"")</f>
        <v>0</v>
      </c>
      <c r="V7" s="4" t="n">
        <f aca="false">IF(C7&gt;0,B7/C7*1000,"")</f>
        <v>94</v>
      </c>
      <c r="W7" s="4" t="str">
        <f aca="false">IF(F7&gt;0,B7/F7,"")</f>
        <v/>
      </c>
      <c r="X7" s="4" t="n">
        <f aca="false">IF(H7&gt;0,B7/H7,"")</f>
        <v>8.93</v>
      </c>
      <c r="Y7" s="7" t="str">
        <f aca="false">IF(F7&gt;0,G7/F7,"")</f>
        <v/>
      </c>
      <c r="Z7" s="7" t="str">
        <f aca="false">IF(G7&gt;0,H7/G7,"")</f>
        <v/>
      </c>
      <c r="AA7" s="6" t="n">
        <f aca="false">IF(C7&gt;0,I7/C7,"")</f>
        <v>0.294736842105263</v>
      </c>
      <c r="AB7" s="7" t="n">
        <f aca="false">IF(C7&gt;0,N7/C7,"")</f>
        <v>0.294736842105263</v>
      </c>
      <c r="AC7" s="7" t="n">
        <f aca="false">IF(N7&gt;0,R7/N7,"")</f>
        <v>0</v>
      </c>
    </row>
    <row r="8" customFormat="false" ht="15" hidden="false" customHeight="false" outlineLevel="0" collapsed="false">
      <c r="A8" s="2" t="s">
        <v>161</v>
      </c>
      <c r="B8" s="4" t="n">
        <v>13.02</v>
      </c>
      <c r="C8" s="5" t="n">
        <v>139</v>
      </c>
      <c r="D8" s="5"/>
      <c r="E8" s="5" t="n">
        <v>10</v>
      </c>
      <c r="F8" s="5" t="n">
        <v>8</v>
      </c>
      <c r="G8" s="5" t="n">
        <v>6</v>
      </c>
      <c r="H8" s="5" t="n">
        <v>0</v>
      </c>
      <c r="I8" s="5" t="n">
        <v>50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42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8" t="str">
        <f aca="false">IF(D8&gt;0,C8/D8,"")</f>
        <v/>
      </c>
      <c r="U8" s="6" t="n">
        <f aca="false">IF(C8&gt;0,F8/C8,"")</f>
        <v>0.0575539568345324</v>
      </c>
      <c r="V8" s="4" t="n">
        <f aca="false">IF(C8&gt;0,B8/C8*1000,"")</f>
        <v>93.6690647482014</v>
      </c>
      <c r="W8" s="4" t="n">
        <f aca="false">IF(F8&gt;0,B8/F8,"")</f>
        <v>1.6275</v>
      </c>
      <c r="X8" s="4" t="str">
        <f aca="false">IF(H8&gt;0,B8/H8,"")</f>
        <v/>
      </c>
      <c r="Y8" s="7" t="n">
        <f aca="false">IF(F8&gt;0,G8/F8,"")</f>
        <v>0.75</v>
      </c>
      <c r="Z8" s="7" t="n">
        <f aca="false">IF(G8&gt;0,H8/G8,"")</f>
        <v>0</v>
      </c>
      <c r="AA8" s="6" t="n">
        <f aca="false">IF(C8&gt;0,I8/C8,"")</f>
        <v>0.359712230215827</v>
      </c>
      <c r="AB8" s="7" t="n">
        <f aca="false">IF(C8&gt;0,N8/C8,"")</f>
        <v>0.302158273381295</v>
      </c>
      <c r="AC8" s="7" t="n">
        <f aca="false">IF(N8&gt;0,R8/N8,"")</f>
        <v>0</v>
      </c>
    </row>
    <row r="9" customFormat="false" ht="15" hidden="false" customHeight="false" outlineLevel="0" collapsed="false">
      <c r="A9" s="2" t="s">
        <v>162</v>
      </c>
      <c r="B9" s="4" t="n">
        <v>19.02</v>
      </c>
      <c r="C9" s="5" t="n">
        <v>173</v>
      </c>
      <c r="D9" s="5"/>
      <c r="E9" s="5" t="n">
        <v>6</v>
      </c>
      <c r="F9" s="5" t="n">
        <v>5</v>
      </c>
      <c r="G9" s="5" t="n">
        <v>6</v>
      </c>
      <c r="H9" s="5" t="n">
        <v>0</v>
      </c>
      <c r="I9" s="5" t="n">
        <v>53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47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8" t="str">
        <f aca="false">IF(D9&gt;0,C9/D9,"")</f>
        <v/>
      </c>
      <c r="U9" s="6" t="n">
        <f aca="false">IF(C9&gt;0,F9/C9,"")</f>
        <v>0.0289017341040462</v>
      </c>
      <c r="V9" s="4" t="n">
        <f aca="false">IF(C9&gt;0,B9/C9*1000,"")</f>
        <v>109.942196531792</v>
      </c>
      <c r="W9" s="4" t="n">
        <f aca="false">IF(F9&gt;0,B9/F9,"")</f>
        <v>3.804</v>
      </c>
      <c r="X9" s="4" t="str">
        <f aca="false">IF(H9&gt;0,B9/H9,"")</f>
        <v/>
      </c>
      <c r="Y9" s="7" t="n">
        <f aca="false">IF(F9&gt;0,G9/F9,"")</f>
        <v>1.2</v>
      </c>
      <c r="Z9" s="7" t="n">
        <f aca="false">IF(G9&gt;0,H9/G9,"")</f>
        <v>0</v>
      </c>
      <c r="AA9" s="6" t="n">
        <f aca="false">IF(C9&gt;0,I9/C9,"")</f>
        <v>0.30635838150289</v>
      </c>
      <c r="AB9" s="7" t="n">
        <f aca="false">IF(C9&gt;0,N9/C9,"")</f>
        <v>0.271676300578035</v>
      </c>
      <c r="AC9" s="7" t="n">
        <f aca="false">IF(N9&gt;0,R9/N9,"")</f>
        <v>0</v>
      </c>
    </row>
    <row r="10" customFormat="false" ht="15" hidden="false" customHeight="false" outlineLevel="0" collapsed="false">
      <c r="A10" s="2" t="s">
        <v>163</v>
      </c>
      <c r="B10" s="4" t="n">
        <v>23.99</v>
      </c>
      <c r="C10" s="5" t="n">
        <v>231</v>
      </c>
      <c r="D10" s="5"/>
      <c r="E10" s="5" t="n">
        <v>12</v>
      </c>
      <c r="F10" s="5" t="n">
        <v>8</v>
      </c>
      <c r="G10" s="5" t="n">
        <v>7</v>
      </c>
      <c r="H10" s="5" t="n">
        <v>0</v>
      </c>
      <c r="I10" s="5" t="n">
        <v>89</v>
      </c>
      <c r="J10" s="5" t="n">
        <v>1</v>
      </c>
      <c r="K10" s="5" t="n">
        <v>0</v>
      </c>
      <c r="L10" s="5" t="n">
        <v>1</v>
      </c>
      <c r="M10" s="5" t="n">
        <v>0</v>
      </c>
      <c r="N10" s="5" t="n">
        <v>79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8" t="str">
        <f aca="false">IF(D10&gt;0,C10/D10,"")</f>
        <v/>
      </c>
      <c r="U10" s="6" t="n">
        <f aca="false">IF(C10&gt;0,F10/C10,"")</f>
        <v>0.0346320346320346</v>
      </c>
      <c r="V10" s="4" t="n">
        <f aca="false">IF(C10&gt;0,B10/C10*1000,"")</f>
        <v>103.852813852814</v>
      </c>
      <c r="W10" s="4" t="n">
        <f aca="false">IF(F10&gt;0,B10/F10,"")</f>
        <v>2.99875</v>
      </c>
      <c r="X10" s="4" t="str">
        <f aca="false">IF(H10&gt;0,B10/H10,"")</f>
        <v/>
      </c>
      <c r="Y10" s="7" t="n">
        <f aca="false">IF(F10&gt;0,G10/F10,"")</f>
        <v>0.875</v>
      </c>
      <c r="Z10" s="7" t="n">
        <f aca="false">IF(G10&gt;0,H10/G10,"")</f>
        <v>0</v>
      </c>
      <c r="AA10" s="6" t="n">
        <f aca="false">IF(C10&gt;0,I10/C10,"")</f>
        <v>0.385281385281385</v>
      </c>
      <c r="AB10" s="7" t="n">
        <f aca="false">IF(C10&gt;0,N10/C10,"")</f>
        <v>0.341991341991342</v>
      </c>
      <c r="AC10" s="7" t="n">
        <f aca="false">IF(N10&gt;0,R10/N10,"")</f>
        <v>0</v>
      </c>
    </row>
    <row r="11" customFormat="false" ht="15" hidden="false" customHeight="false" outlineLevel="0" collapsed="false">
      <c r="A11" s="2" t="s">
        <v>164</v>
      </c>
      <c r="B11" s="4" t="n">
        <v>25.21</v>
      </c>
      <c r="C11" s="5" t="n">
        <v>237</v>
      </c>
      <c r="D11" s="5"/>
      <c r="E11" s="5" t="n">
        <v>9</v>
      </c>
      <c r="F11" s="5" t="n">
        <v>4</v>
      </c>
      <c r="G11" s="5" t="n">
        <v>3</v>
      </c>
      <c r="H11" s="5" t="n">
        <v>0</v>
      </c>
      <c r="I11" s="5" t="n">
        <v>73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68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8" t="str">
        <f aca="false">IF(D11&gt;0,C11/D11,"")</f>
        <v/>
      </c>
      <c r="U11" s="6" t="n">
        <f aca="false">IF(C11&gt;0,F11/C11,"")</f>
        <v>0.0168776371308017</v>
      </c>
      <c r="V11" s="4" t="n">
        <f aca="false">IF(C11&gt;0,B11/C11*1000,"")</f>
        <v>106.371308016878</v>
      </c>
      <c r="W11" s="4" t="n">
        <f aca="false">IF(F11&gt;0,B11/F11,"")</f>
        <v>6.3025</v>
      </c>
      <c r="X11" s="4" t="str">
        <f aca="false">IF(H11&gt;0,B11/H11,"")</f>
        <v/>
      </c>
      <c r="Y11" s="7" t="n">
        <f aca="false">IF(F11&gt;0,G11/F11,"")</f>
        <v>0.75</v>
      </c>
      <c r="Z11" s="7" t="n">
        <f aca="false">IF(G11&gt;0,H11/G11,"")</f>
        <v>0</v>
      </c>
      <c r="AA11" s="6" t="n">
        <f aca="false">IF(C11&gt;0,I11/C11,"")</f>
        <v>0.308016877637131</v>
      </c>
      <c r="AB11" s="7" t="n">
        <f aca="false">IF(C11&gt;0,N11/C11,"")</f>
        <v>0.286919831223629</v>
      </c>
      <c r="AC11" s="7" t="n">
        <f aca="false">IF(N11&gt;0,R11/N11,"")</f>
        <v>0</v>
      </c>
    </row>
    <row r="12" customFormat="false" ht="15" hidden="false" customHeight="false" outlineLevel="0" collapsed="false">
      <c r="A12" s="2" t="s">
        <v>165</v>
      </c>
      <c r="B12" s="4" t="n">
        <v>29.26</v>
      </c>
      <c r="C12" s="5" t="n">
        <v>285</v>
      </c>
      <c r="D12" s="5"/>
      <c r="E12" s="5" t="n">
        <v>16</v>
      </c>
      <c r="F12" s="5" t="n">
        <v>12</v>
      </c>
      <c r="G12" s="5" t="n">
        <v>9</v>
      </c>
      <c r="H12" s="5" t="n">
        <v>0</v>
      </c>
      <c r="I12" s="5" t="n">
        <v>100</v>
      </c>
      <c r="J12" s="5" t="n">
        <v>1</v>
      </c>
      <c r="K12" s="5" t="n">
        <v>0</v>
      </c>
      <c r="L12" s="5" t="n">
        <v>0</v>
      </c>
      <c r="M12" s="5" t="n">
        <v>1</v>
      </c>
      <c r="N12" s="5" t="n">
        <v>86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8" t="str">
        <f aca="false">IF(D12&gt;0,C12/D12,"")</f>
        <v/>
      </c>
      <c r="U12" s="6" t="n">
        <f aca="false">IF(C12&gt;0,F12/C12,"")</f>
        <v>0.0421052631578947</v>
      </c>
      <c r="V12" s="4" t="n">
        <f aca="false">IF(C12&gt;0,B12/C12*1000,"")</f>
        <v>102.666666666667</v>
      </c>
      <c r="W12" s="4" t="n">
        <f aca="false">IF(F12&gt;0,B12/F12,"")</f>
        <v>2.43833333333333</v>
      </c>
      <c r="X12" s="4" t="str">
        <f aca="false">IF(H12&gt;0,B12/H12,"")</f>
        <v/>
      </c>
      <c r="Y12" s="7" t="n">
        <f aca="false">IF(F12&gt;0,G12/F12,"")</f>
        <v>0.75</v>
      </c>
      <c r="Z12" s="7" t="n">
        <f aca="false">IF(G12&gt;0,H12/G12,"")</f>
        <v>0</v>
      </c>
      <c r="AA12" s="6" t="n">
        <f aca="false">IF(C12&gt;0,I12/C12,"")</f>
        <v>0.350877192982456</v>
      </c>
      <c r="AB12" s="7" t="n">
        <f aca="false">IF(C12&gt;0,N12/C12,"")</f>
        <v>0.301754385964912</v>
      </c>
      <c r="AC12" s="7" t="n">
        <f aca="false">IF(N12&gt;0,R12/N12,"")</f>
        <v>0</v>
      </c>
    </row>
    <row r="13" customFormat="false" ht="15" hidden="false" customHeight="false" outlineLevel="0" collapsed="false">
      <c r="A13" s="2" t="s">
        <v>166</v>
      </c>
      <c r="B13" s="4" t="n">
        <v>20.23</v>
      </c>
      <c r="C13" s="5" t="n">
        <v>235</v>
      </c>
      <c r="D13" s="5"/>
      <c r="E13" s="5" t="n">
        <v>21</v>
      </c>
      <c r="F13" s="5" t="n">
        <v>14</v>
      </c>
      <c r="G13" s="5" t="n">
        <v>9</v>
      </c>
      <c r="H13" s="5" t="n">
        <v>0</v>
      </c>
      <c r="I13" s="5" t="n">
        <v>96</v>
      </c>
      <c r="J13" s="5" t="n">
        <v>2</v>
      </c>
      <c r="K13" s="5" t="n">
        <v>0</v>
      </c>
      <c r="L13" s="5" t="n">
        <v>0</v>
      </c>
      <c r="M13" s="5" t="n">
        <v>1</v>
      </c>
      <c r="N13" s="5" t="n">
        <v>79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8" t="str">
        <f aca="false">IF(D13&gt;0,C13/D13,"")</f>
        <v/>
      </c>
      <c r="U13" s="6" t="n">
        <f aca="false">IF(C13&gt;0,F13/C13,"")</f>
        <v>0.0595744680851064</v>
      </c>
      <c r="V13" s="4" t="n">
        <f aca="false">IF(C13&gt;0,B13/C13*1000,"")</f>
        <v>86.0851063829787</v>
      </c>
      <c r="W13" s="4" t="n">
        <f aca="false">IF(F13&gt;0,B13/F13,"")</f>
        <v>1.445</v>
      </c>
      <c r="X13" s="4" t="str">
        <f aca="false">IF(H13&gt;0,B13/H13,"")</f>
        <v/>
      </c>
      <c r="Y13" s="7" t="n">
        <f aca="false">IF(F13&gt;0,G13/F13,"")</f>
        <v>0.642857142857143</v>
      </c>
      <c r="Z13" s="7" t="n">
        <f aca="false">IF(G13&gt;0,H13/G13,"")</f>
        <v>0</v>
      </c>
      <c r="AA13" s="6" t="n">
        <f aca="false">IF(C13&gt;0,I13/C13,"")</f>
        <v>0.408510638297872</v>
      </c>
      <c r="AB13" s="7" t="n">
        <f aca="false">IF(C13&gt;0,N13/C13,"")</f>
        <v>0.336170212765957</v>
      </c>
      <c r="AC13" s="7" t="n">
        <f aca="false">IF(N13&gt;0,R13/N13,"")</f>
        <v>0</v>
      </c>
    </row>
    <row r="14" customFormat="false" ht="15" hidden="false" customHeight="false" outlineLevel="0" collapsed="false">
      <c r="A14" s="2" t="s">
        <v>167</v>
      </c>
      <c r="B14" s="4" t="n">
        <v>23.55</v>
      </c>
      <c r="C14" s="5" t="n">
        <v>239</v>
      </c>
      <c r="D14" s="5"/>
      <c r="E14" s="5" t="n">
        <v>15</v>
      </c>
      <c r="F14" s="5" t="n">
        <v>11</v>
      </c>
      <c r="G14" s="5" t="n">
        <v>10</v>
      </c>
      <c r="H14" s="5" t="n">
        <v>0</v>
      </c>
      <c r="I14" s="5" t="n">
        <v>82</v>
      </c>
      <c r="J14" s="5" t="n">
        <v>1</v>
      </c>
      <c r="K14" s="5" t="n">
        <v>0</v>
      </c>
      <c r="L14" s="5" t="n">
        <v>0</v>
      </c>
      <c r="M14" s="5" t="n">
        <v>0</v>
      </c>
      <c r="N14" s="5" t="n">
        <v>70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8" t="str">
        <f aca="false">IF(D14&gt;0,C14/D14,"")</f>
        <v/>
      </c>
      <c r="U14" s="6" t="n">
        <f aca="false">IF(C14&gt;0,F14/C14,"")</f>
        <v>0.0460251046025105</v>
      </c>
      <c r="V14" s="4" t="n">
        <f aca="false">IF(C14&gt;0,B14/C14*1000,"")</f>
        <v>98.5355648535565</v>
      </c>
      <c r="W14" s="4" t="n">
        <f aca="false">IF(F14&gt;0,B14/F14,"")</f>
        <v>2.14090909090909</v>
      </c>
      <c r="X14" s="4" t="str">
        <f aca="false">IF(H14&gt;0,B14/H14,"")</f>
        <v/>
      </c>
      <c r="Y14" s="7" t="n">
        <f aca="false">IF(F14&gt;0,G14/F14,"")</f>
        <v>0.909090909090909</v>
      </c>
      <c r="Z14" s="7" t="n">
        <f aca="false">IF(G14&gt;0,H14/G14,"")</f>
        <v>0</v>
      </c>
      <c r="AA14" s="6" t="n">
        <f aca="false">IF(C14&gt;0,I14/C14,"")</f>
        <v>0.343096234309623</v>
      </c>
      <c r="AB14" s="7" t="n">
        <f aca="false">IF(C14&gt;0,N14/C14,"")</f>
        <v>0.292887029288703</v>
      </c>
      <c r="AC14" s="7" t="n">
        <f aca="false">IF(N14&gt;0,R14/N14,"")</f>
        <v>0</v>
      </c>
    </row>
    <row r="15" customFormat="false" ht="15" hidden="false" customHeight="false" outlineLevel="0" collapsed="false">
      <c r="A15" s="2" t="s">
        <v>168</v>
      </c>
      <c r="B15" s="4" t="n">
        <v>23.07</v>
      </c>
      <c r="C15" s="5" t="n">
        <v>235</v>
      </c>
      <c r="D15" s="5"/>
      <c r="E15" s="5" t="n">
        <v>11</v>
      </c>
      <c r="F15" s="5" t="n">
        <v>9</v>
      </c>
      <c r="G15" s="5" t="n">
        <v>9</v>
      </c>
      <c r="H15" s="5" t="n">
        <v>1</v>
      </c>
      <c r="I15" s="5" t="n">
        <v>67</v>
      </c>
      <c r="J15" s="5" t="n">
        <v>4</v>
      </c>
      <c r="K15" s="5" t="n">
        <v>0</v>
      </c>
      <c r="L15" s="5" t="n">
        <v>0</v>
      </c>
      <c r="M15" s="5" t="n">
        <v>0</v>
      </c>
      <c r="N15" s="5" t="n">
        <v>54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8" t="str">
        <f aca="false">IF(D15&gt;0,C15/D15,"")</f>
        <v/>
      </c>
      <c r="U15" s="6" t="n">
        <f aca="false">IF(C15&gt;0,F15/C15,"")</f>
        <v>0.0382978723404255</v>
      </c>
      <c r="V15" s="4" t="n">
        <f aca="false">IF(C15&gt;0,B15/C15*1000,"")</f>
        <v>98.1702127659574</v>
      </c>
      <c r="W15" s="4" t="n">
        <f aca="false">IF(F15&gt;0,B15/F15,"")</f>
        <v>2.56333333333333</v>
      </c>
      <c r="X15" s="4" t="n">
        <f aca="false">IF(H15&gt;0,B15/H15,"")</f>
        <v>23.07</v>
      </c>
      <c r="Y15" s="7" t="n">
        <f aca="false">IF(F15&gt;0,G15/F15,"")</f>
        <v>1</v>
      </c>
      <c r="Z15" s="7" t="n">
        <f aca="false">IF(G15&gt;0,H15/G15,"")</f>
        <v>0.111111111111111</v>
      </c>
      <c r="AA15" s="6" t="n">
        <f aca="false">IF(C15&gt;0,I15/C15,"")</f>
        <v>0.285106382978723</v>
      </c>
      <c r="AB15" s="7" t="n">
        <f aca="false">IF(C15&gt;0,N15/C15,"")</f>
        <v>0.229787234042553</v>
      </c>
      <c r="AC15" s="7" t="n">
        <f aca="false">IF(N15&gt;0,R15/N15,"")</f>
        <v>0</v>
      </c>
    </row>
    <row r="16" customFormat="false" ht="15" hidden="false" customHeight="false" outlineLevel="0" collapsed="false">
      <c r="A16" s="2" t="s">
        <v>169</v>
      </c>
      <c r="B16" s="4" t="n">
        <v>23.86</v>
      </c>
      <c r="C16" s="5" t="n">
        <v>266</v>
      </c>
      <c r="D16" s="5"/>
      <c r="E16" s="5" t="n">
        <v>10</v>
      </c>
      <c r="F16" s="5" t="n">
        <v>6</v>
      </c>
      <c r="G16" s="5" t="n">
        <v>5</v>
      </c>
      <c r="H16" s="5" t="n">
        <v>0</v>
      </c>
      <c r="I16" s="5" t="n">
        <v>64</v>
      </c>
      <c r="J16" s="5" t="n">
        <v>0</v>
      </c>
      <c r="K16" s="5" t="n">
        <v>0</v>
      </c>
      <c r="L16" s="5" t="n">
        <v>1</v>
      </c>
      <c r="M16" s="5" t="n">
        <v>1</v>
      </c>
      <c r="N16" s="5" t="n">
        <v>56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8" t="str">
        <f aca="false">IF(D16&gt;0,C16/D16,"")</f>
        <v/>
      </c>
      <c r="U16" s="6" t="n">
        <f aca="false">IF(C16&gt;0,F16/C16,"")</f>
        <v>0.0225563909774436</v>
      </c>
      <c r="V16" s="4" t="n">
        <f aca="false">IF(C16&gt;0,B16/C16*1000,"")</f>
        <v>89.6992481203008</v>
      </c>
      <c r="W16" s="4" t="n">
        <f aca="false">IF(F16&gt;0,B16/F16,"")</f>
        <v>3.97666666666667</v>
      </c>
      <c r="X16" s="4" t="str">
        <f aca="false">IF(H16&gt;0,B16/H16,"")</f>
        <v/>
      </c>
      <c r="Y16" s="7" t="n">
        <f aca="false">IF(F16&gt;0,G16/F16,"")</f>
        <v>0.833333333333333</v>
      </c>
      <c r="Z16" s="7" t="n">
        <f aca="false">IF(G16&gt;0,H16/G16,"")</f>
        <v>0</v>
      </c>
      <c r="AA16" s="6" t="n">
        <f aca="false">IF(C16&gt;0,I16/C16,"")</f>
        <v>0.240601503759398</v>
      </c>
      <c r="AB16" s="7" t="n">
        <f aca="false">IF(C16&gt;0,N16/C16,"")</f>
        <v>0.210526315789474</v>
      </c>
      <c r="AC16" s="7" t="n">
        <f aca="false">IF(N16&gt;0,R16/N16,"")</f>
        <v>0</v>
      </c>
    </row>
    <row r="17" customFormat="false" ht="15" hidden="false" customHeight="false" outlineLevel="0" collapsed="false">
      <c r="A17" s="2" t="s">
        <v>170</v>
      </c>
      <c r="B17" s="4" t="n">
        <v>23.89</v>
      </c>
      <c r="C17" s="5" t="n">
        <v>240</v>
      </c>
      <c r="D17" s="5"/>
      <c r="E17" s="5" t="n">
        <v>15</v>
      </c>
      <c r="F17" s="5" t="n">
        <v>9</v>
      </c>
      <c r="G17" s="5" t="n">
        <v>8</v>
      </c>
      <c r="H17" s="5" t="n">
        <v>1</v>
      </c>
      <c r="I17" s="5" t="n">
        <v>74</v>
      </c>
      <c r="J17" s="5" t="n">
        <v>2</v>
      </c>
      <c r="K17" s="5" t="n">
        <v>0</v>
      </c>
      <c r="L17" s="5" t="n">
        <v>0</v>
      </c>
      <c r="M17" s="5" t="n">
        <v>0</v>
      </c>
      <c r="N17" s="5" t="n">
        <v>63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8" t="str">
        <f aca="false">IF(D17&gt;0,C17/D17,"")</f>
        <v/>
      </c>
      <c r="U17" s="6" t="n">
        <f aca="false">IF(C17&gt;0,F17/C17,"")</f>
        <v>0.0375</v>
      </c>
      <c r="V17" s="4" t="n">
        <f aca="false">IF(C17&gt;0,B17/C17*1000,"")</f>
        <v>99.5416666666667</v>
      </c>
      <c r="W17" s="4" t="n">
        <f aca="false">IF(F17&gt;0,B17/F17,"")</f>
        <v>2.65444444444444</v>
      </c>
      <c r="X17" s="4" t="n">
        <f aca="false">IF(H17&gt;0,B17/H17,"")</f>
        <v>23.89</v>
      </c>
      <c r="Y17" s="7" t="n">
        <f aca="false">IF(F17&gt;0,G17/F17,"")</f>
        <v>0.888888888888889</v>
      </c>
      <c r="Z17" s="7" t="n">
        <f aca="false">IF(G17&gt;0,H17/G17,"")</f>
        <v>0.125</v>
      </c>
      <c r="AA17" s="6" t="n">
        <f aca="false">IF(C17&gt;0,I17/C17,"")</f>
        <v>0.308333333333333</v>
      </c>
      <c r="AB17" s="7" t="n">
        <f aca="false">IF(C17&gt;0,N17/C17,"")</f>
        <v>0.2625</v>
      </c>
      <c r="AC17" s="7" t="n">
        <f aca="false">IF(N17&gt;0,R17/N17,"")</f>
        <v>0</v>
      </c>
    </row>
    <row r="18" customFormat="false" ht="15" hidden="false" customHeight="false" outlineLevel="0" collapsed="false">
      <c r="A18" s="2" t="s">
        <v>171</v>
      </c>
      <c r="B18" s="4" t="n">
        <v>18.59</v>
      </c>
      <c r="C18" s="5" t="n">
        <v>197</v>
      </c>
      <c r="D18" s="5"/>
      <c r="E18" s="5" t="n">
        <v>6</v>
      </c>
      <c r="F18" s="5" t="n">
        <v>5</v>
      </c>
      <c r="G18" s="5" t="n">
        <v>4</v>
      </c>
      <c r="H18" s="5" t="n">
        <v>0</v>
      </c>
      <c r="I18" s="5" t="n">
        <v>39</v>
      </c>
      <c r="J18" s="5" t="n">
        <v>1</v>
      </c>
      <c r="K18" s="5" t="n">
        <v>0</v>
      </c>
      <c r="L18" s="5" t="n">
        <v>1</v>
      </c>
      <c r="M18" s="5" t="n">
        <v>0</v>
      </c>
      <c r="N18" s="5" t="n">
        <v>32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8" t="str">
        <f aca="false">IF(D18&gt;0,C18/D18,"")</f>
        <v/>
      </c>
      <c r="U18" s="6" t="n">
        <f aca="false">IF(C18&gt;0,F18/C18,"")</f>
        <v>0.0253807106598985</v>
      </c>
      <c r="V18" s="4" t="n">
        <f aca="false">IF(C18&gt;0,B18/C18*1000,"")</f>
        <v>94.3654822335025</v>
      </c>
      <c r="W18" s="4" t="n">
        <f aca="false">IF(F18&gt;0,B18/F18,"")</f>
        <v>3.718</v>
      </c>
      <c r="X18" s="4" t="str">
        <f aca="false">IF(H18&gt;0,B18/H18,"")</f>
        <v/>
      </c>
      <c r="Y18" s="7" t="n">
        <f aca="false">IF(F18&gt;0,G18/F18,"")</f>
        <v>0.8</v>
      </c>
      <c r="Z18" s="7" t="n">
        <f aca="false">IF(G18&gt;0,H18/G18,"")</f>
        <v>0</v>
      </c>
      <c r="AA18" s="6" t="n">
        <f aca="false">IF(C18&gt;0,I18/C18,"")</f>
        <v>0.197969543147208</v>
      </c>
      <c r="AB18" s="7" t="n">
        <f aca="false">IF(C18&gt;0,N18/C18,"")</f>
        <v>0.16243654822335</v>
      </c>
      <c r="AC18" s="7" t="n">
        <f aca="false">IF(N18&gt;0,R18/N18,"")</f>
        <v>0</v>
      </c>
    </row>
    <row r="19" customFormat="false" ht="15" hidden="false" customHeight="false" outlineLevel="0" collapsed="false">
      <c r="A19" s="2" t="s">
        <v>172</v>
      </c>
      <c r="B19" s="4" t="n">
        <v>20.54</v>
      </c>
      <c r="C19" s="5" t="n">
        <v>222</v>
      </c>
      <c r="D19" s="5"/>
      <c r="E19" s="5" t="n">
        <v>6</v>
      </c>
      <c r="F19" s="5" t="n">
        <v>4</v>
      </c>
      <c r="G19" s="5" t="n">
        <v>3</v>
      </c>
      <c r="H19" s="5" t="n">
        <v>0</v>
      </c>
      <c r="I19" s="5" t="n">
        <v>57</v>
      </c>
      <c r="J19" s="5" t="n">
        <v>3</v>
      </c>
      <c r="K19" s="5" t="n">
        <v>0</v>
      </c>
      <c r="L19" s="5" t="n">
        <v>0</v>
      </c>
      <c r="M19" s="5" t="n">
        <v>0</v>
      </c>
      <c r="N19" s="5" t="n">
        <v>50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8" t="str">
        <f aca="false">IF(D19&gt;0,C19/D19,"")</f>
        <v/>
      </c>
      <c r="U19" s="6" t="n">
        <f aca="false">IF(C19&gt;0,F19/C19,"")</f>
        <v>0.018018018018018</v>
      </c>
      <c r="V19" s="4" t="n">
        <f aca="false">IF(C19&gt;0,B19/C19*1000,"")</f>
        <v>92.5225225225225</v>
      </c>
      <c r="W19" s="4" t="n">
        <f aca="false">IF(F19&gt;0,B19/F19,"")</f>
        <v>5.135</v>
      </c>
      <c r="X19" s="4" t="str">
        <f aca="false">IF(H19&gt;0,B19/H19,"")</f>
        <v/>
      </c>
      <c r="Y19" s="7" t="n">
        <f aca="false">IF(F19&gt;0,G19/F19,"")</f>
        <v>0.75</v>
      </c>
      <c r="Z19" s="7" t="n">
        <f aca="false">IF(G19&gt;0,H19/G19,"")</f>
        <v>0</v>
      </c>
      <c r="AA19" s="6" t="n">
        <f aca="false">IF(C19&gt;0,I19/C19,"")</f>
        <v>0.256756756756757</v>
      </c>
      <c r="AB19" s="7" t="n">
        <f aca="false">IF(C19&gt;0,N19/C19,"")</f>
        <v>0.225225225225225</v>
      </c>
      <c r="AC19" s="7" t="n">
        <f aca="false">IF(N19&gt;0,R19/N19,"")</f>
        <v>0</v>
      </c>
    </row>
    <row r="20" customFormat="false" ht="15" hidden="false" customHeight="false" outlineLevel="0" collapsed="false">
      <c r="A20" s="2" t="s">
        <v>173</v>
      </c>
      <c r="B20" s="4" t="n">
        <v>19.16</v>
      </c>
      <c r="C20" s="5" t="n">
        <v>208</v>
      </c>
      <c r="D20" s="5"/>
      <c r="E20" s="5" t="n">
        <v>10</v>
      </c>
      <c r="F20" s="5" t="n">
        <v>4</v>
      </c>
      <c r="G20" s="5" t="n">
        <v>2</v>
      </c>
      <c r="H20" s="5" t="n">
        <v>0</v>
      </c>
      <c r="I20" s="5" t="n">
        <v>62</v>
      </c>
      <c r="J20" s="5" t="n">
        <v>4</v>
      </c>
      <c r="K20" s="5" t="n">
        <v>0</v>
      </c>
      <c r="L20" s="5" t="n">
        <v>1</v>
      </c>
      <c r="M20" s="5" t="n">
        <v>1</v>
      </c>
      <c r="N20" s="5" t="n">
        <v>52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8" t="str">
        <f aca="false">IF(D20&gt;0,C20/D20,"")</f>
        <v/>
      </c>
      <c r="U20" s="6" t="n">
        <f aca="false">IF(C20&gt;0,F20/C20,"")</f>
        <v>0.0192307692307692</v>
      </c>
      <c r="V20" s="4" t="n">
        <f aca="false">IF(C20&gt;0,B20/C20*1000,"")</f>
        <v>92.1153846153846</v>
      </c>
      <c r="W20" s="4" t="n">
        <f aca="false">IF(F20&gt;0,B20/F20,"")</f>
        <v>4.79</v>
      </c>
      <c r="X20" s="4" t="str">
        <f aca="false">IF(H20&gt;0,B20/H20,"")</f>
        <v/>
      </c>
      <c r="Y20" s="7" t="n">
        <f aca="false">IF(F20&gt;0,G20/F20,"")</f>
        <v>0.5</v>
      </c>
      <c r="Z20" s="7" t="n">
        <f aca="false">IF(G20&gt;0,H20/G20,"")</f>
        <v>0</v>
      </c>
      <c r="AA20" s="6" t="n">
        <f aca="false">IF(C20&gt;0,I20/C20,"")</f>
        <v>0.298076923076923</v>
      </c>
      <c r="AB20" s="7" t="n">
        <f aca="false">IF(C20&gt;0,N20/C20,"")</f>
        <v>0.25</v>
      </c>
      <c r="AC20" s="7" t="n">
        <f aca="false">IF(N20&gt;0,R20/N20,"")</f>
        <v>0</v>
      </c>
    </row>
    <row r="21" customFormat="false" ht="15" hidden="false" customHeight="false" outlineLevel="0" collapsed="false">
      <c r="A21" s="2" t="s">
        <v>174</v>
      </c>
      <c r="B21" s="4" t="n">
        <v>19.44</v>
      </c>
      <c r="C21" s="5" t="n">
        <v>255</v>
      </c>
      <c r="D21" s="5"/>
      <c r="E21" s="5" t="n">
        <v>19</v>
      </c>
      <c r="F21" s="5" t="n">
        <v>19</v>
      </c>
      <c r="G21" s="5" t="n">
        <v>11</v>
      </c>
      <c r="H21" s="5" t="n">
        <v>0</v>
      </c>
      <c r="I21" s="5" t="n">
        <v>112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92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8" t="str">
        <f aca="false">IF(D21&gt;0,C21/D21,"")</f>
        <v/>
      </c>
      <c r="U21" s="6" t="n">
        <f aca="false">IF(C21&gt;0,F21/C21,"")</f>
        <v>0.0745098039215686</v>
      </c>
      <c r="V21" s="4" t="n">
        <f aca="false">IF(C21&gt;0,B21/C21*1000,"")</f>
        <v>76.2352941176471</v>
      </c>
      <c r="W21" s="4" t="n">
        <f aca="false">IF(F21&gt;0,B21/F21,"")</f>
        <v>1.02315789473684</v>
      </c>
      <c r="X21" s="4" t="str">
        <f aca="false">IF(H21&gt;0,B21/H21,"")</f>
        <v/>
      </c>
      <c r="Y21" s="7" t="n">
        <f aca="false">IF(F21&gt;0,G21/F21,"")</f>
        <v>0.578947368421053</v>
      </c>
      <c r="Z21" s="7" t="n">
        <f aca="false">IF(G21&gt;0,H21/G21,"")</f>
        <v>0</v>
      </c>
      <c r="AA21" s="6" t="n">
        <f aca="false">IF(C21&gt;0,I21/C21,"")</f>
        <v>0.43921568627451</v>
      </c>
      <c r="AB21" s="7" t="n">
        <f aca="false">IF(C21&gt;0,N21/C21,"")</f>
        <v>0.36078431372549</v>
      </c>
      <c r="AC21" s="7" t="n">
        <f aca="false">IF(N21&gt;0,R21/N21,"")</f>
        <v>0</v>
      </c>
    </row>
    <row r="22" customFormat="false" ht="15" hidden="false" customHeight="false" outlineLevel="0" collapsed="false">
      <c r="A22" s="2" t="s">
        <v>175</v>
      </c>
      <c r="B22" s="4" t="n">
        <v>25.33</v>
      </c>
      <c r="C22" s="5" t="n">
        <v>394</v>
      </c>
      <c r="D22" s="5"/>
      <c r="E22" s="5" t="n">
        <v>41</v>
      </c>
      <c r="F22" s="5" t="n">
        <v>49</v>
      </c>
      <c r="G22" s="5" t="n">
        <v>40</v>
      </c>
      <c r="H22" s="5" t="n">
        <v>0</v>
      </c>
      <c r="I22" s="5" t="n">
        <v>161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112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8" t="str">
        <f aca="false">IF(D22&gt;0,C22/D22,"")</f>
        <v/>
      </c>
      <c r="U22" s="6" t="n">
        <f aca="false">IF(C22&gt;0,F22/C22,"")</f>
        <v>0.124365482233503</v>
      </c>
      <c r="V22" s="4" t="n">
        <f aca="false">IF(C22&gt;0,B22/C22*1000,"")</f>
        <v>64.2893401015228</v>
      </c>
      <c r="W22" s="4" t="n">
        <f aca="false">IF(F22&gt;0,B22/F22,"")</f>
        <v>0.516938775510204</v>
      </c>
      <c r="X22" s="4" t="str">
        <f aca="false">IF(H22&gt;0,B22/H22,"")</f>
        <v/>
      </c>
      <c r="Y22" s="7" t="n">
        <f aca="false">IF(F22&gt;0,G22/F22,"")</f>
        <v>0.816326530612245</v>
      </c>
      <c r="Z22" s="7" t="n">
        <f aca="false">IF(G22&gt;0,H22/G22,"")</f>
        <v>0</v>
      </c>
      <c r="AA22" s="6" t="n">
        <f aca="false">IF(C22&gt;0,I22/C22,"")</f>
        <v>0.408629441624366</v>
      </c>
      <c r="AB22" s="7" t="n">
        <f aca="false">IF(C22&gt;0,N22/C22,"")</f>
        <v>0.284263959390863</v>
      </c>
      <c r="AC22" s="7" t="n">
        <f aca="false">IF(N22&gt;0,R22/N22,"")</f>
        <v>0</v>
      </c>
    </row>
    <row r="23" customFormat="false" ht="15" hidden="false" customHeight="false" outlineLevel="0" collapsed="false">
      <c r="A23" s="2" t="s">
        <v>176</v>
      </c>
      <c r="B23" s="4" t="n">
        <v>27.24</v>
      </c>
      <c r="C23" s="5" t="n">
        <v>362</v>
      </c>
      <c r="D23" s="5"/>
      <c r="E23" s="5" t="n">
        <v>19</v>
      </c>
      <c r="F23" s="5" t="n">
        <v>18</v>
      </c>
      <c r="G23" s="5" t="n">
        <v>13</v>
      </c>
      <c r="H23" s="5" t="n">
        <v>0</v>
      </c>
      <c r="I23" s="5" t="n">
        <v>103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84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8" t="str">
        <f aca="false">IF(D23&gt;0,C23/D23,"")</f>
        <v/>
      </c>
      <c r="U23" s="6" t="n">
        <f aca="false">IF(C23&gt;0,F23/C23,"")</f>
        <v>0.0497237569060773</v>
      </c>
      <c r="V23" s="4" t="n">
        <f aca="false">IF(C23&gt;0,B23/C23*1000,"")</f>
        <v>75.2486187845304</v>
      </c>
      <c r="W23" s="4" t="n">
        <f aca="false">IF(F23&gt;0,B23/F23,"")</f>
        <v>1.51333333333333</v>
      </c>
      <c r="X23" s="4" t="str">
        <f aca="false">IF(H23&gt;0,B23/H23,"")</f>
        <v/>
      </c>
      <c r="Y23" s="7" t="n">
        <f aca="false">IF(F23&gt;0,G23/F23,"")</f>
        <v>0.722222222222222</v>
      </c>
      <c r="Z23" s="7" t="n">
        <f aca="false">IF(G23&gt;0,H23/G23,"")</f>
        <v>0</v>
      </c>
      <c r="AA23" s="6" t="n">
        <f aca="false">IF(C23&gt;0,I23/C23,"")</f>
        <v>0.284530386740332</v>
      </c>
      <c r="AB23" s="7" t="n">
        <f aca="false">IF(C23&gt;0,N23/C23,"")</f>
        <v>0.232044198895028</v>
      </c>
      <c r="AC23" s="7" t="n">
        <f aca="false">IF(N23&gt;0,R23/N23,"")</f>
        <v>0</v>
      </c>
    </row>
    <row r="24" customFormat="false" ht="15" hidden="false" customHeight="false" outlineLevel="0" collapsed="false">
      <c r="A24" s="2" t="s">
        <v>177</v>
      </c>
      <c r="B24" s="4" t="n">
        <v>18.52</v>
      </c>
      <c r="C24" s="5" t="n">
        <v>218</v>
      </c>
      <c r="D24" s="5"/>
      <c r="E24" s="5" t="n">
        <v>7</v>
      </c>
      <c r="F24" s="5" t="n">
        <v>5</v>
      </c>
      <c r="G24" s="5" t="n">
        <v>6</v>
      </c>
      <c r="H24" s="5" t="n">
        <v>0</v>
      </c>
      <c r="I24" s="5" t="n">
        <v>58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53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8" t="str">
        <f aca="false">IF(D24&gt;0,C24/D24,"")</f>
        <v/>
      </c>
      <c r="U24" s="6" t="n">
        <f aca="false">IF(C24&gt;0,F24/C24,"")</f>
        <v>0.0229357798165138</v>
      </c>
      <c r="V24" s="4" t="n">
        <f aca="false">IF(C24&gt;0,B24/C24*1000,"")</f>
        <v>84.954128440367</v>
      </c>
      <c r="W24" s="4" t="n">
        <f aca="false">IF(F24&gt;0,B24/F24,"")</f>
        <v>3.704</v>
      </c>
      <c r="X24" s="4" t="str">
        <f aca="false">IF(H24&gt;0,B24/H24,"")</f>
        <v/>
      </c>
      <c r="Y24" s="7" t="n">
        <f aca="false">IF(F24&gt;0,G24/F24,"")</f>
        <v>1.2</v>
      </c>
      <c r="Z24" s="7" t="n">
        <f aca="false">IF(G24&gt;0,H24/G24,"")</f>
        <v>0</v>
      </c>
      <c r="AA24" s="6" t="n">
        <f aca="false">IF(C24&gt;0,I24/C24,"")</f>
        <v>0.26605504587156</v>
      </c>
      <c r="AB24" s="7" t="n">
        <f aca="false">IF(C24&gt;0,N24/C24,"")</f>
        <v>0.243119266055046</v>
      </c>
      <c r="AC24" s="7" t="n">
        <f aca="false">IF(N24&gt;0,R24/N24,"")</f>
        <v>0</v>
      </c>
    </row>
    <row r="25" customFormat="false" ht="15" hidden="false" customHeight="false" outlineLevel="0" collapsed="false">
      <c r="A25" s="2" t="s">
        <v>178</v>
      </c>
      <c r="B25" s="4" t="n">
        <v>17.9</v>
      </c>
      <c r="C25" s="5" t="n">
        <v>197</v>
      </c>
      <c r="D25" s="5"/>
      <c r="E25" s="5" t="n">
        <v>9</v>
      </c>
      <c r="F25" s="5" t="n">
        <v>9</v>
      </c>
      <c r="G25" s="5" t="n">
        <v>6</v>
      </c>
      <c r="H25" s="5" t="n">
        <v>1</v>
      </c>
      <c r="I25" s="5" t="n">
        <v>54</v>
      </c>
      <c r="J25" s="5" t="n">
        <v>1</v>
      </c>
      <c r="K25" s="5" t="n">
        <v>0</v>
      </c>
      <c r="L25" s="5" t="n">
        <v>1</v>
      </c>
      <c r="M25" s="5" t="n">
        <v>2</v>
      </c>
      <c r="N25" s="5" t="n">
        <v>41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8" t="str">
        <f aca="false">IF(D25&gt;0,C25/D25,"")</f>
        <v/>
      </c>
      <c r="U25" s="6" t="n">
        <f aca="false">IF(C25&gt;0,F25/C25,"")</f>
        <v>0.0456852791878173</v>
      </c>
      <c r="V25" s="4" t="n">
        <f aca="false">IF(C25&gt;0,B25/C25*1000,"")</f>
        <v>90.8629441624365</v>
      </c>
      <c r="W25" s="4" t="n">
        <f aca="false">IF(F25&gt;0,B25/F25,"")</f>
        <v>1.98888888888889</v>
      </c>
      <c r="X25" s="4" t="n">
        <f aca="false">IF(H25&gt;0,B25/H25,"")</f>
        <v>17.9</v>
      </c>
      <c r="Y25" s="7" t="n">
        <f aca="false">IF(F25&gt;0,G25/F25,"")</f>
        <v>0.666666666666667</v>
      </c>
      <c r="Z25" s="7" t="n">
        <f aca="false">IF(G25&gt;0,H25/G25,"")</f>
        <v>0.166666666666667</v>
      </c>
      <c r="AA25" s="6" t="n">
        <f aca="false">IF(C25&gt;0,I25/C25,"")</f>
        <v>0.274111675126904</v>
      </c>
      <c r="AB25" s="7" t="n">
        <f aca="false">IF(C25&gt;0,N25/C25,"")</f>
        <v>0.208121827411168</v>
      </c>
      <c r="AC25" s="7" t="n">
        <f aca="false">IF(N25&gt;0,R25/N25,"")</f>
        <v>0</v>
      </c>
    </row>
    <row r="26" customFormat="false" ht="15" hidden="false" customHeight="false" outlineLevel="0" collapsed="false">
      <c r="A26" s="11" t="s">
        <v>52</v>
      </c>
      <c r="B26" s="12" t="n">
        <f aca="false">SUM(B2:B25)</f>
        <v>488.01</v>
      </c>
      <c r="C26" s="13" t="n">
        <f aca="false">SUM(C2:C25)</f>
        <v>5230</v>
      </c>
      <c r="D26" s="13"/>
      <c r="E26" s="13" t="n">
        <f aca="false">SUM(E2:E25)</f>
        <v>293</v>
      </c>
      <c r="F26" s="13" t="n">
        <f aca="false">SUM(F2:F25)</f>
        <v>236</v>
      </c>
      <c r="G26" s="13" t="n">
        <f aca="false">SUM(G2:G25)</f>
        <v>183</v>
      </c>
      <c r="H26" s="13" t="n">
        <f aca="false">SUM(H2:H25)</f>
        <v>4</v>
      </c>
      <c r="I26" s="13" t="n">
        <f aca="false">SUM(I2:I25)</f>
        <v>1663</v>
      </c>
      <c r="J26" s="13" t="n">
        <f aca="false">SUM(J2:J25)</f>
        <v>27</v>
      </c>
      <c r="K26" s="13" t="n">
        <f aca="false">SUM(K2:K25)</f>
        <v>0</v>
      </c>
      <c r="L26" s="13" t="n">
        <f aca="false">SUM(L2:L25)</f>
        <v>6</v>
      </c>
      <c r="M26" s="13" t="n">
        <f aca="false">SUM(M2:M25)</f>
        <v>6</v>
      </c>
      <c r="N26" s="13" t="n">
        <f aca="false">SUM(N2:N25)</f>
        <v>1388</v>
      </c>
      <c r="O26" s="13" t="n">
        <f aca="false">SUM(O2:O25)</f>
        <v>0</v>
      </c>
      <c r="P26" s="13" t="n">
        <f aca="false">SUM(P2:P25)</f>
        <v>0</v>
      </c>
      <c r="Q26" s="13" t="n">
        <f aca="false">SUM(Q2:Q25)</f>
        <v>0</v>
      </c>
      <c r="R26" s="13" t="n">
        <f aca="false">SUM(R2:R25)</f>
        <v>0</v>
      </c>
      <c r="S26" s="13" t="n">
        <f aca="false">SUM(S2:S25)</f>
        <v>0</v>
      </c>
      <c r="T26" s="14" t="str">
        <f aca="false">IF(D26&gt;0,C26/D26,"")</f>
        <v/>
      </c>
      <c r="U26" s="15" t="n">
        <f aca="false">IF(C26&gt;0,F26/C26,"")</f>
        <v>0.0451242829827916</v>
      </c>
      <c r="V26" s="12" t="n">
        <f aca="false">IF(C26&gt;0,B26/C26*1000,"")</f>
        <v>93.3097514340344</v>
      </c>
      <c r="W26" s="12" t="n">
        <f aca="false">IF(F26&gt;0,B26/F26,"")</f>
        <v>2.06783898305085</v>
      </c>
      <c r="X26" s="12" t="n">
        <f aca="false">IF(H26&gt;0,B26/H26,"")</f>
        <v>122.0025</v>
      </c>
      <c r="Y26" s="16" t="n">
        <f aca="false">IF(F26&gt;0,G26/F26,"")</f>
        <v>0.775423728813559</v>
      </c>
      <c r="Z26" s="16" t="n">
        <f aca="false">IF(G26&gt;0,H26/G26,"")</f>
        <v>0.0218579234972678</v>
      </c>
      <c r="AA26" s="15" t="n">
        <f aca="false">IF(C26&gt;0,I26/C26,"")</f>
        <v>0.317973231357553</v>
      </c>
      <c r="AB26" s="16" t="n">
        <f aca="false">IF(C26&gt;0,N26/C26,"")</f>
        <v>0.265391969407266</v>
      </c>
      <c r="AC26" s="16" t="n">
        <f aca="false">IF(N26&gt;0,R26/N26,"")</f>
        <v>0</v>
      </c>
    </row>
    <row r="28" customFormat="false" ht="15" hidden="false" customHeight="false" outlineLevel="0" collapsed="false">
      <c r="A28" s="17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3" t="s">
        <v>180</v>
      </c>
      <c r="B1" s="3" t="s">
        <v>181</v>
      </c>
      <c r="C1" s="3" t="s">
        <v>182</v>
      </c>
      <c r="D1" s="3" t="s">
        <v>183</v>
      </c>
      <c r="E1" s="3" t="s">
        <v>184</v>
      </c>
      <c r="F1" s="3" t="s">
        <v>185</v>
      </c>
    </row>
    <row r="2" customFormat="false" ht="15" hidden="false" customHeight="false" outlineLevel="0" collapsed="false">
      <c r="A2" s="2" t="s">
        <v>44</v>
      </c>
      <c r="B2" s="2" t="s">
        <v>54</v>
      </c>
      <c r="C2" s="2" t="s">
        <v>186</v>
      </c>
      <c r="D2" s="2" t="s">
        <v>187</v>
      </c>
      <c r="E2" s="2" t="s">
        <v>188</v>
      </c>
      <c r="F2" s="2" t="s">
        <v>189</v>
      </c>
    </row>
    <row r="3" customFormat="false" ht="15" hidden="false" customHeight="false" outlineLevel="0" collapsed="false">
      <c r="A3" s="2" t="s">
        <v>45</v>
      </c>
      <c r="B3" s="2" t="s">
        <v>57</v>
      </c>
      <c r="C3" s="2" t="s">
        <v>190</v>
      </c>
      <c r="D3" s="2" t="s">
        <v>191</v>
      </c>
      <c r="E3" s="2" t="s">
        <v>192</v>
      </c>
      <c r="F3" s="2" t="s">
        <v>193</v>
      </c>
    </row>
    <row r="4" customFormat="false" ht="15" hidden="false" customHeight="false" outlineLevel="0" collapsed="false">
      <c r="A4" s="2" t="s">
        <v>48</v>
      </c>
      <c r="B4" s="2" t="s">
        <v>55</v>
      </c>
      <c r="C4" s="2" t="s">
        <v>190</v>
      </c>
      <c r="D4" s="2" t="s">
        <v>187</v>
      </c>
      <c r="E4" s="2" t="s">
        <v>192</v>
      </c>
      <c r="F4" s="2" t="s">
        <v>193</v>
      </c>
    </row>
    <row r="5" customFormat="false" ht="15" hidden="false" customHeight="false" outlineLevel="0" collapsed="false">
      <c r="A5" s="2" t="s">
        <v>51</v>
      </c>
      <c r="B5" s="2" t="s">
        <v>55</v>
      </c>
      <c r="C5" s="2" t="s">
        <v>190</v>
      </c>
      <c r="D5" s="2" t="s">
        <v>187</v>
      </c>
      <c r="E5" s="2" t="s">
        <v>192</v>
      </c>
      <c r="F5" s="2" t="s">
        <v>193</v>
      </c>
    </row>
    <row r="6" customFormat="false" ht="15" hidden="false" customHeight="false" outlineLevel="0" collapsed="false">
      <c r="A6" s="2" t="s">
        <v>194</v>
      </c>
      <c r="B6" s="2" t="s">
        <v>195</v>
      </c>
      <c r="C6" s="2" t="s">
        <v>186</v>
      </c>
      <c r="D6" s="2" t="s">
        <v>196</v>
      </c>
      <c r="E6" s="2" t="s">
        <v>188</v>
      </c>
      <c r="F6" s="2" t="s">
        <v>189</v>
      </c>
    </row>
    <row r="7" customFormat="false" ht="15" hidden="false" customHeight="false" outlineLevel="0" collapsed="false">
      <c r="A7" s="2" t="s">
        <v>194</v>
      </c>
      <c r="B7" s="2" t="s">
        <v>195</v>
      </c>
      <c r="C7" s="2"/>
      <c r="D7" s="2"/>
      <c r="E7" s="2" t="s">
        <v>192</v>
      </c>
      <c r="F7" s="2" t="s">
        <v>197</v>
      </c>
    </row>
    <row r="8" customFormat="false" ht="15" hidden="false" customHeight="false" outlineLevel="0" collapsed="false">
      <c r="A8" s="2" t="s">
        <v>194</v>
      </c>
      <c r="B8" s="2" t="s">
        <v>195</v>
      </c>
      <c r="C8" s="2" t="s">
        <v>186</v>
      </c>
      <c r="D8" s="2" t="s">
        <v>198</v>
      </c>
      <c r="E8" s="2" t="s">
        <v>188</v>
      </c>
      <c r="F8" s="2" t="s">
        <v>189</v>
      </c>
    </row>
    <row r="9" customFormat="false" ht="15" hidden="false" customHeight="false" outlineLevel="0" collapsed="false">
      <c r="A9" s="2" t="s">
        <v>194</v>
      </c>
      <c r="B9" s="2" t="s">
        <v>195</v>
      </c>
      <c r="C9" s="2" t="s">
        <v>186</v>
      </c>
      <c r="D9" s="2" t="s">
        <v>199</v>
      </c>
      <c r="E9" s="2" t="s">
        <v>188</v>
      </c>
      <c r="F9" s="2" t="s">
        <v>189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 t="s">
        <v>200</v>
      </c>
      <c r="B11" s="2" t="n">
        <f aca="false">COUNTIF(F2:F9,"Calificado")</f>
        <v>4</v>
      </c>
      <c r="C11" s="2"/>
      <c r="D11" s="2"/>
      <c r="E11" s="2"/>
      <c r="F11" s="2"/>
    </row>
    <row r="12" customFormat="false" ht="15" hidden="false" customHeight="false" outlineLevel="0" collapsed="false">
      <c r="A12" s="2" t="s">
        <v>201</v>
      </c>
      <c r="B12" s="2" t="n">
        <f aca="false">COUNTIF(F2:F9,"No calificado")</f>
        <v>3</v>
      </c>
      <c r="C12" s="2"/>
      <c r="D12" s="2"/>
      <c r="E12" s="2"/>
      <c r="F12" s="2"/>
    </row>
    <row r="13" customFormat="false" ht="15" hidden="false" customHeight="false" outlineLevel="0" collapsed="false">
      <c r="A13" s="2" t="s">
        <v>202</v>
      </c>
      <c r="B13" s="7" t="n">
        <f aca="false">IF(B11+B12&gt;0,B12/(B11+B12),"")</f>
        <v>0.428571428571429</v>
      </c>
      <c r="C13" s="2"/>
      <c r="D13" s="2"/>
      <c r="E13" s="2"/>
      <c r="F13" s="2"/>
    </row>
    <row r="14" customFormat="false" ht="15" hidden="false" customHeight="false" outlineLevel="0" collapsed="false">
      <c r="A14" s="2" t="s">
        <v>203</v>
      </c>
      <c r="B14" s="2"/>
      <c r="C14" s="2"/>
      <c r="D14" s="2"/>
      <c r="E14" s="2"/>
      <c r="F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2026-10-12T14:40:52Z</dcterms:created>
  <dc:creator>openpyxl</dc:creator>
  <dc:description/>
  <dc:language>en-US</dc:language>
  <cp:lastModifiedBy/>
  <dcterms:modified xsi:type="dcterms:W3CDTF">2026-10-12T14:41:05Z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