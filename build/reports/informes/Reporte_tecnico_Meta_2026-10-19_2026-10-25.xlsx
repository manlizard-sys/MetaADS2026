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ario" sheetId="2" state="visible" r:id="rId4"/>
    <sheet name="Anuncios" sheetId="3" state="visible" r:id="rId5"/>
    <sheet name="Edad" sheetId="4" state="visible" r:id="rId6"/>
    <sheet name="Género" sheetId="5" state="visible" r:id="rId7"/>
    <sheet name="Edad x Género" sheetId="6" state="visible" r:id="rId8"/>
    <sheet name="Estado" sheetId="7" state="visible" r:id="rId9"/>
    <sheet name="Placement" sheetId="8" state="visible" r:id="rId10"/>
    <sheet name="Dispositivo" sheetId="9" state="visible" r:id="rId11"/>
    <sheet name="Hora" sheetId="10" state="visible" r:id="rId12"/>
    <sheet name="Calidad de lead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<sst xmlns="http://schemas.openxmlformats.org/spreadsheetml/2006/main" count="442" uniqueCount="133">
  <si>
    <t xml:space="preserve">Reporte técnico · Meta Ads · OrchidPros</t>
  </si>
  <si>
    <t xml:space="preserve">Periodo: 2026-10-19 a 2026-10-25 · campaña ORCHID - Leads - Hire VA - 2026 OCT - ABO · cuenta act_1806647434085082</t>
  </si>
  <si>
    <t xml:space="preserve">Métrica</t>
  </si>
  <si>
    <t xml:space="preserve">Valor</t>
  </si>
  <si>
    <t xml:space="preserve">Gasto (USD)</t>
  </si>
  <si>
    <t xml:space="preserve">Impresiones</t>
  </si>
  <si>
    <t xml:space="preserve">Clics en enlace</t>
  </si>
  <si>
    <t xml:space="preserve">Landing page views</t>
  </si>
  <si>
    <t xml:space="preserve">Leads (Meta)</t>
  </si>
  <si>
    <t xml:space="preserve">Interacciones</t>
  </si>
  <si>
    <t xml:space="preserve">Reproducciones 3 s</t>
  </si>
  <si>
    <t xml:space="preserve">ThruPlay</t>
  </si>
  <si>
    <t xml:space="preserve">CTR enlace</t>
  </si>
  <si>
    <t xml:space="preserve">CPM (USD)</t>
  </si>
  <si>
    <t xml:space="preserve">CPC enlace (USD)</t>
  </si>
  <si>
    <t xml:space="preserve">CPL Meta (USD)</t>
  </si>
  <si>
    <t xml:space="preserve">Clic → LPV</t>
  </si>
  <si>
    <t xml:space="preserve">LPV → lead</t>
  </si>
  <si>
    <t xml:space="preserve">Hook rate (3 s / imp.)</t>
  </si>
  <si>
    <t xml:space="preserve">Retención 100% / 3 s</t>
  </si>
  <si>
    <t xml:space="preserve">Alcance (personas únicas)</t>
  </si>
  <si>
    <t xml:space="preserve">Frecuencia</t>
  </si>
  <si>
    <t xml:space="preserve">Notas</t>
  </si>
  <si>
    <t xml:space="preserve">Fuente: Meta Marketing API (atribución por defecto de la cuenta). Pueden variar levemente frente a Ads Manager.</t>
  </si>
  <si>
    <t xml:space="preserve">Tasas calculadas con fórmulas en cada hoja: CTR = clics en enlace / impresiones; CPL Meta = gasto / leads de Meta.</t>
  </si>
  <si>
    <t xml:space="preserve">Lead (Meta) cuenta todo formulario enviado; la calidad real está en la hoja 'Calidad de leads' (GHL).</t>
  </si>
  <si>
    <t xml:space="preserve">Alcance no es sumable entre segmentos; el total de cada hoja lo omite.</t>
  </si>
  <si>
    <t xml:space="preserve">Fecha</t>
  </si>
  <si>
    <t xml:space="preserve">Alcance</t>
  </si>
  <si>
    <t xml:space="preserve">Clics (todos)</t>
  </si>
  <si>
    <t xml:space="preserve">Reacciones</t>
  </si>
  <si>
    <t xml:space="preserve">Comentarios</t>
  </si>
  <si>
    <t xml:space="preserve">Compartidos</t>
  </si>
  <si>
    <t xml:space="preserve">Guardados</t>
  </si>
  <si>
    <t xml:space="preserve">Video 25%</t>
  </si>
  <si>
    <t xml:space="preserve">Video 50%</t>
  </si>
  <si>
    <t xml:space="preserve">Video 75%</t>
  </si>
  <si>
    <t xml:space="preserve">Video 100%</t>
  </si>
  <si>
    <t xml:space="preserve">Tasa de interacción</t>
  </si>
  <si>
    <t xml:space="preserve">2026-10-19</t>
  </si>
  <si>
    <t xml:space="preserve">2026-10-21</t>
  </si>
  <si>
    <t xml:space="preserve">2026-10-22</t>
  </si>
  <si>
    <t xml:space="preserve">2026-10-23</t>
  </si>
  <si>
    <t xml:space="preserve">Total</t>
  </si>
  <si>
    <t xml:space="preserve">Anuncio</t>
  </si>
  <si>
    <t xml:space="preserve">🔵 S11 Immigration Intake Calls - Hyperlocal - 2026 Oct</t>
  </si>
  <si>
    <t xml:space="preserve">🔵 H3 Saturdays Back - Hyperlocal - 2026 Oct</t>
  </si>
  <si>
    <t xml:space="preserve">🔵 H5 Phones While In Court - Hyperlocal - 2026 Oct</t>
  </si>
  <si>
    <t xml:space="preserve">S9 Attorneys In-Person Cost - Hyperlocal - 2026 Oct</t>
  </si>
  <si>
    <t xml:space="preserve">S10 Interns Turnover - Hyperlocal - 2026 Oct</t>
  </si>
  <si>
    <t xml:space="preserve">Edad</t>
  </si>
  <si>
    <t xml:space="preserve">65+</t>
  </si>
  <si>
    <t xml:space="preserve">55-64</t>
  </si>
  <si>
    <t xml:space="preserve">25-34</t>
  </si>
  <si>
    <t xml:space="preserve">35-44</t>
  </si>
  <si>
    <t xml:space="preserve">45-54</t>
  </si>
  <si>
    <t xml:space="preserve">Género</t>
  </si>
  <si>
    <t xml:space="preserve">Hombre</t>
  </si>
  <si>
    <t xml:space="preserve">Mujer</t>
  </si>
  <si>
    <t xml:space="preserve">Sin dato</t>
  </si>
  <si>
    <t xml:space="preserve">Estado (EE. UU.)</t>
  </si>
  <si>
    <t xml:space="preserve">New York</t>
  </si>
  <si>
    <t xml:space="preserve">Pennsylvania</t>
  </si>
  <si>
    <t xml:space="preserve">New Jersey</t>
  </si>
  <si>
    <t xml:space="preserve">Washington, District of Columbia</t>
  </si>
  <si>
    <t xml:space="preserve">Meta no reporta landing page views ni leads por estado (restricción de privacidad): esas columnas salen en 0.</t>
  </si>
  <si>
    <t xml:space="preserve">Plataforma</t>
  </si>
  <si>
    <t xml:space="preserve">Posición</t>
  </si>
  <si>
    <t xml:space="preserve">instagram</t>
  </si>
  <si>
    <t xml:space="preserve">feed</t>
  </si>
  <si>
    <t xml:space="preserve">facebook</t>
  </si>
  <si>
    <t xml:space="preserve">facebook_reels</t>
  </si>
  <si>
    <t xml:space="preserve">instagram_reels</t>
  </si>
  <si>
    <t xml:space="preserve">facebook_reels_overlay</t>
  </si>
  <si>
    <t xml:space="preserve">instagram_stories</t>
  </si>
  <si>
    <t xml:space="preserve">facebook_stories</t>
  </si>
  <si>
    <t xml:space="preserve">marketplace</t>
  </si>
  <si>
    <t xml:space="preserve">right_hand_column</t>
  </si>
  <si>
    <t xml:space="preserve">instream_video</t>
  </si>
  <si>
    <t xml:space="preserve">unknown</t>
  </si>
  <si>
    <t xml:space="preserve">facebook_notification</t>
  </si>
  <si>
    <t xml:space="preserve">search</t>
  </si>
  <si>
    <t xml:space="preserve">instagram_explore_grid_home</t>
  </si>
  <si>
    <t xml:space="preserve">Dispositivo</t>
  </si>
  <si>
    <t xml:space="preserve">iphone</t>
  </si>
  <si>
    <t xml:space="preserve">android_smartphone</t>
  </si>
  <si>
    <t xml:space="preserve">desktop</t>
  </si>
  <si>
    <t xml:space="preserve">android_tablet</t>
  </si>
  <si>
    <t xml:space="preserve">other</t>
  </si>
  <si>
    <t xml:space="preserve">ipad</t>
  </si>
  <si>
    <t xml:space="preserve">Hora (Nueva York)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</si>
  <si>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</si>
  <si>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</si>
  <si>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</si>
  <si>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</si>
  <si>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</si>
  <si>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</si>
  <si>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</si>
  <si>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</si>
  <si>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</si>
  <si>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</si>
  <si>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</si>
  <si>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</si>
  <si>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</si>
  <si>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</si>
  <si>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</si>
  <si>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</si>
  <si>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</si>
  <si>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</si>
  <si>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</si>
  <si>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</si>
  <si>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</si>
  <si>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</si>
  <si>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</si>
  <si>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</si>
  <si>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Meta no entrega alcance por hora.</t>
  </si>
  <si>
    <t xml:space="preserve">Fecha (UTC)</t>
  </si>
  <si>
    <t xml:space="preserve">Anuncio de origen</t>
  </si>
  <si>
    <t xml:space="preserve">Hiring or job seeking</t>
  </si>
  <si>
    <t xml:space="preserve">Vertical</t>
  </si>
  <si>
    <t xml:space="preserve">Agendó</t>
  </si>
  <si>
    <t xml:space="preserve">Clasificación</t>
  </si>
  <si>
    <t xml:space="preserve">(sin utm)</t>
  </si>
  <si>
    <t xml:space="preserve">No</t>
  </si>
  <si>
    <t xml:space="preserve">Sin respuesta</t>
  </si>
  <si>
    <t xml:space="preserve">I'm looking for a job.</t>
  </si>
  <si>
    <t xml:space="preserve">Other business</t>
  </si>
  <si>
    <t xml:space="preserve">No calificado</t>
  </si>
  <si>
    <t xml:space="preserve">2026-10-25</t>
  </si>
  <si>
    <t xml:space="preserve">Calificados</t>
  </si>
  <si>
    <t xml:space="preserve">No calificados</t>
  </si>
  <si>
    <t xml:space="preserve">% no calificados (con respuesta)</t>
  </si>
  <si>
    <t xml:space="preserve">Fuente: GHL (ghl-2026-10-26.json), contactos creados entre 2026-10-19 y 2026-10-25, sin datos personales. Excluye importaciones de Mailchimp.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</si>
</sst>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0%"/>
    <numFmt numFmtId="168" formatCode="0.0%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1C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66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1C78"/>
        <bgColor rgb="FF333333"/>
      </patternFill>
    </fill>
    <fill>
      <patternFill patternType="solid">
        <fgColor rgb="FFF3F0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0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680"/>
      <rgbColor rgb="FF969696"/>
      <rgbColor rgb="FF003366"/>
      <rgbColor rgb="FF339966"/>
      <rgbColor rgb="FF003300"/>
      <rgbColor rgb="FF333300"/>
      <rgbColor rgb="FF993300"/>
      <rgbColor rgb="FF993366"/>
      <rgbColor rgb="FF3B1C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4" t="n">
        <f aca="false">Diario!B6</f>
        <v>177.45</v>
      </c>
    </row>
    <row r="6" customFormat="false" ht="15" hidden="false" customHeight="false" outlineLevel="0" collapsed="false">
      <c r="A6" s="2" t="s">
        <v>5</v>
      </c>
      <c r="B6" s="5" t="n">
        <f aca="false">Diario!C6</f>
        <v>1556</v>
      </c>
    </row>
    <row r="7" customFormat="false" ht="15" hidden="false" customHeight="false" outlineLevel="0" collapsed="false">
      <c r="A7" s="2" t="s">
        <v>6</v>
      </c>
      <c r="B7" s="5" t="n">
        <f aca="false">Diario!F6</f>
        <v>25</v>
      </c>
    </row>
    <row r="8" customFormat="false" ht="15" hidden="false" customHeight="false" outlineLevel="0" collapsed="false">
      <c r="A8" s="2" t="s">
        <v>7</v>
      </c>
      <c r="B8" s="5" t="n">
        <f aca="false">Diario!G6</f>
        <v>16</v>
      </c>
    </row>
    <row r="9" customFormat="false" ht="15" hidden="false" customHeight="false" outlineLevel="0" collapsed="false">
      <c r="A9" s="2" t="s">
        <v>8</v>
      </c>
      <c r="B9" s="5" t="n">
        <f aca="false">Diario!H6</f>
        <v>1</v>
      </c>
    </row>
    <row r="10" customFormat="false" ht="15" hidden="false" customHeight="false" outlineLevel="0" collapsed="false">
      <c r="A10" s="2" t="s">
        <v>9</v>
      </c>
      <c r="B10" s="5" t="n">
        <f aca="false">Diario!I6</f>
        <v>34</v>
      </c>
    </row>
    <row r="11" customFormat="false" ht="15" hidden="false" customHeight="false" outlineLevel="0" collapsed="false">
      <c r="A11" s="2" t="s">
        <v>10</v>
      </c>
      <c r="B11" s="5" t="n">
        <f aca="false">Diario!N6</f>
        <v>0</v>
      </c>
    </row>
    <row r="12" customFormat="false" ht="15" hidden="false" customHeight="false" outlineLevel="0" collapsed="false">
      <c r="A12" s="2" t="s">
        <v>11</v>
      </c>
      <c r="B12" s="5" t="n">
        <f aca="false">Diario!S6</f>
        <v>0</v>
      </c>
    </row>
    <row r="13" customFormat="false" ht="15" hidden="false" customHeight="false" outlineLevel="0" collapsed="false">
      <c r="A13" s="2" t="s">
        <v>12</v>
      </c>
      <c r="B13" s="6" t="n">
        <f aca="false">Diario!U6</f>
        <v>0.0160668380462725</v>
      </c>
    </row>
    <row r="14" customFormat="false" ht="15" hidden="false" customHeight="false" outlineLevel="0" collapsed="false">
      <c r="A14" s="2" t="s">
        <v>13</v>
      </c>
      <c r="B14" s="4" t="n">
        <f aca="false">Diario!V6</f>
        <v>114.042416452442</v>
      </c>
    </row>
    <row r="15" customFormat="false" ht="15" hidden="false" customHeight="false" outlineLevel="0" collapsed="false">
      <c r="A15" s="2" t="s">
        <v>14</v>
      </c>
      <c r="B15" s="4" t="n">
        <f aca="false">Diario!W6</f>
        <v>7.098</v>
      </c>
    </row>
    <row r="16" customFormat="false" ht="15" hidden="false" customHeight="false" outlineLevel="0" collapsed="false">
      <c r="A16" s="2" t="s">
        <v>15</v>
      </c>
      <c r="B16" s="4" t="n">
        <f aca="false">Diario!X6</f>
        <v>177.45</v>
      </c>
    </row>
    <row r="17" customFormat="false" ht="15" hidden="false" customHeight="false" outlineLevel="0" collapsed="false">
      <c r="A17" s="2" t="s">
        <v>16</v>
      </c>
      <c r="B17" s="7" t="n">
        <f aca="false">Diario!Y6</f>
        <v>0.64</v>
      </c>
    </row>
    <row r="18" customFormat="false" ht="15" hidden="false" customHeight="false" outlineLevel="0" collapsed="false">
      <c r="A18" s="2" t="s">
        <v>17</v>
      </c>
      <c r="B18" s="7" t="n">
        <f aca="false">Diario!Z6</f>
        <v>0.0625</v>
      </c>
    </row>
    <row r="19" customFormat="false" ht="15" hidden="false" customHeight="false" outlineLevel="0" collapsed="false">
      <c r="A19" s="2" t="s">
        <v>18</v>
      </c>
      <c r="B19" s="7" t="n">
        <f aca="false">Diario!AB6</f>
        <v>0</v>
      </c>
    </row>
    <row r="20" customFormat="false" ht="15" hidden="false" customHeight="false" outlineLevel="0" collapsed="false">
      <c r="A20" s="2" t="s">
        <v>19</v>
      </c>
      <c r="B20" s="7" t="str">
        <f aca="false">Diario!AC6</f>
        <v/>
      </c>
    </row>
    <row r="21" customFormat="false" ht="15" hidden="false" customHeight="false" outlineLevel="0" collapsed="false">
      <c r="A21" s="2" t="s">
        <v>20</v>
      </c>
      <c r="B21" s="5" t="n">
        <v>939</v>
      </c>
    </row>
    <row r="22" customFormat="false" ht="15" hidden="false" customHeight="false" outlineLevel="0" collapsed="false">
      <c r="A22" s="2" t="s">
        <v>21</v>
      </c>
      <c r="B22" s="8" t="n">
        <f aca="false">IF(B21&gt;0,B6/B21,"")</f>
        <v>1.65708200212993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9" t="s">
        <v>22</v>
      </c>
      <c r="B24" s="2"/>
    </row>
    <row r="25" customFormat="false" ht="15" hidden="false" customHeight="false" outlineLevel="0" collapsed="false">
      <c r="A25" s="2" t="s">
        <v>23</v>
      </c>
      <c r="B25" s="2"/>
    </row>
    <row r="26" customFormat="false" ht="15" hidden="false" customHeight="false" outlineLevel="0" collapsed="false">
      <c r="A26" s="2" t="s">
        <v>24</v>
      </c>
      <c r="B26" s="2"/>
    </row>
    <row r="27" customFormat="false" ht="15" hidden="false" customHeight="false" outlineLevel="0" collapsed="false">
      <c r="A27" s="2" t="s">
        <v>25</v>
      </c>
      <c r="B27" s="2"/>
    </row>
    <row r="28" customFormat="false" ht="15" hidden="false" customHeight="false" outlineLevel="0" collapsed="false">
      <c r="A28" s="2" t="s">
        <v>26</v>
      </c>
      <c r="B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27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39</v>
      </c>
      <c r="B2" s="4" t="n">
        <v>16.49</v>
      </c>
      <c r="C2" s="5" t="n">
        <v>119</v>
      </c>
      <c r="D2" s="5" t="n">
        <v>90</v>
      </c>
      <c r="E2" s="5" t="n">
        <v>4</v>
      </c>
      <c r="F2" s="5" t="n">
        <v>3</v>
      </c>
      <c r="G2" s="5" t="n">
        <v>2</v>
      </c>
      <c r="H2" s="5" t="n">
        <v>0</v>
      </c>
      <c r="I2" s="5" t="n">
        <v>5</v>
      </c>
      <c r="J2" s="5" t="n">
        <v>1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1.32222222222222</v>
      </c>
      <c r="U2" s="6" t="n">
        <f aca="false">IF(C2&gt;0,F2/C2,"")</f>
        <v>0.0252100840336134</v>
      </c>
      <c r="V2" s="4" t="n">
        <f aca="false">IF(C2&gt;0,B2/C2*1000,"")</f>
        <v>138.571428571429</v>
      </c>
      <c r="W2" s="4" t="n">
        <f aca="false">IF(F2&gt;0,B2/F2,"")</f>
        <v>5.49666666666667</v>
      </c>
      <c r="X2" s="4" t="str">
        <f aca="false">IF(H2&gt;0,B2/H2,"")</f>
        <v/>
      </c>
      <c r="Y2" s="7" t="n">
        <f aca="false">IF(F2&gt;0,G2/F2,"")</f>
        <v>0.666666666666667</v>
      </c>
      <c r="Z2" s="7" t="n">
        <f aca="false">IF(G2&gt;0,H2/G2,"")</f>
        <v>0</v>
      </c>
      <c r="AA2" s="6" t="n">
        <f aca="false">IF(C2&gt;0,I2/C2,"")</f>
        <v>0.0420168067226891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40</v>
      </c>
      <c r="B3" s="4" t="n">
        <v>71.3</v>
      </c>
      <c r="C3" s="5" t="n">
        <v>674</v>
      </c>
      <c r="D3" s="5" t="n">
        <v>506</v>
      </c>
      <c r="E3" s="5" t="n">
        <v>20</v>
      </c>
      <c r="F3" s="5" t="n">
        <v>14</v>
      </c>
      <c r="G3" s="5" t="n">
        <v>8</v>
      </c>
      <c r="H3" s="5" t="n">
        <v>0</v>
      </c>
      <c r="I3" s="5" t="n">
        <v>17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1.33201581027668</v>
      </c>
      <c r="U3" s="6" t="n">
        <f aca="false">IF(C3&gt;0,F3/C3,"")</f>
        <v>0.0207715133531157</v>
      </c>
      <c r="V3" s="4" t="n">
        <f aca="false">IF(C3&gt;0,B3/C3*1000,"")</f>
        <v>105.786350148368</v>
      </c>
      <c r="W3" s="4" t="n">
        <f aca="false">IF(F3&gt;0,B3/F3,"")</f>
        <v>5.09285714285714</v>
      </c>
      <c r="X3" s="4" t="str">
        <f aca="false">IF(H3&gt;0,B3/H3,"")</f>
        <v/>
      </c>
      <c r="Y3" s="7" t="n">
        <f aca="false">IF(F3&gt;0,G3/F3,"")</f>
        <v>0.571428571428571</v>
      </c>
      <c r="Z3" s="7" t="n">
        <f aca="false">IF(G3&gt;0,H3/G3,"")</f>
        <v>0</v>
      </c>
      <c r="AA3" s="6" t="n">
        <f aca="false">IF(C3&gt;0,I3/C3,"")</f>
        <v>0.0252225519287834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41</v>
      </c>
      <c r="B4" s="4" t="n">
        <v>53.51</v>
      </c>
      <c r="C4" s="5" t="n">
        <v>412</v>
      </c>
      <c r="D4" s="5" t="n">
        <v>287</v>
      </c>
      <c r="E4" s="5" t="n">
        <v>8</v>
      </c>
      <c r="F4" s="5" t="n">
        <v>5</v>
      </c>
      <c r="G4" s="5" t="n">
        <v>4</v>
      </c>
      <c r="H4" s="5" t="n">
        <v>0</v>
      </c>
      <c r="I4" s="5" t="n">
        <v>7</v>
      </c>
      <c r="J4" s="5" t="n">
        <v>2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1.43554006968641</v>
      </c>
      <c r="U4" s="6" t="n">
        <f aca="false">IF(C4&gt;0,F4/C4,"")</f>
        <v>0.0121359223300971</v>
      </c>
      <c r="V4" s="4" t="n">
        <f aca="false">IF(C4&gt;0,B4/C4*1000,"")</f>
        <v>129.878640776699</v>
      </c>
      <c r="W4" s="4" t="n">
        <f aca="false">IF(F4&gt;0,B4/F4,"")</f>
        <v>10.702</v>
      </c>
      <c r="X4" s="4" t="str">
        <f aca="false">IF(H4&gt;0,B4/H4,"")</f>
        <v/>
      </c>
      <c r="Y4" s="7" t="n">
        <f aca="false">IF(F4&gt;0,G4/F4,"")</f>
        <v>0.8</v>
      </c>
      <c r="Z4" s="7" t="n">
        <f aca="false">IF(G4&gt;0,H4/G4,"")</f>
        <v>0</v>
      </c>
      <c r="AA4" s="6" t="n">
        <f aca="false">IF(C4&gt;0,I4/C4,"")</f>
        <v>0.0169902912621359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42</v>
      </c>
      <c r="B5" s="4" t="n">
        <v>36.15</v>
      </c>
      <c r="C5" s="5" t="n">
        <v>351</v>
      </c>
      <c r="D5" s="5" t="n">
        <v>268</v>
      </c>
      <c r="E5" s="5" t="n">
        <v>5</v>
      </c>
      <c r="F5" s="5" t="n">
        <v>3</v>
      </c>
      <c r="G5" s="5" t="n">
        <v>2</v>
      </c>
      <c r="H5" s="5" t="n">
        <v>1</v>
      </c>
      <c r="I5" s="5" t="n">
        <v>5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1.30970149253731</v>
      </c>
      <c r="U5" s="6" t="n">
        <f aca="false">IF(C5&gt;0,F5/C5,"")</f>
        <v>0.00854700854700855</v>
      </c>
      <c r="V5" s="4" t="n">
        <f aca="false">IF(C5&gt;0,B5/C5*1000,"")</f>
        <v>102.991452991453</v>
      </c>
      <c r="W5" s="4" t="n">
        <f aca="false">IF(F5&gt;0,B5/F5,"")</f>
        <v>12.05</v>
      </c>
      <c r="X5" s="4" t="n">
        <f aca="false">IF(H5&gt;0,B5/H5,"")</f>
        <v>36.15</v>
      </c>
      <c r="Y5" s="7" t="n">
        <f aca="false">IF(F5&gt;0,G5/F5,"")</f>
        <v>0.666666666666667</v>
      </c>
      <c r="Z5" s="7" t="n">
        <f aca="false">IF(G5&gt;0,H5/G5,"")</f>
        <v>0.5</v>
      </c>
      <c r="AA5" s="6" t="n">
        <f aca="false">IF(C5&gt;0,I5/C5,"")</f>
        <v>0.0142450142450142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11" t="s">
        <v>43</v>
      </c>
      <c r="B6" s="12" t="n">
        <f aca="false">SUM(B2:B5)</f>
        <v>177.45</v>
      </c>
      <c r="C6" s="13" t="n">
        <f aca="false">SUM(C2:C5)</f>
        <v>1556</v>
      </c>
      <c r="D6" s="13"/>
      <c r="E6" s="13" t="n">
        <f aca="false">SUM(E2:E5)</f>
        <v>37</v>
      </c>
      <c r="F6" s="13" t="n">
        <f aca="false">SUM(F2:F5)</f>
        <v>25</v>
      </c>
      <c r="G6" s="13" t="n">
        <f aca="false">SUM(G2:G5)</f>
        <v>16</v>
      </c>
      <c r="H6" s="13" t="n">
        <f aca="false">SUM(H2:H5)</f>
        <v>1</v>
      </c>
      <c r="I6" s="13" t="n">
        <f aca="false">SUM(I2:I5)</f>
        <v>34</v>
      </c>
      <c r="J6" s="13" t="n">
        <f aca="false">SUM(J2:J5)</f>
        <v>7</v>
      </c>
      <c r="K6" s="13" t="n">
        <f aca="false">SUM(K2:K5)</f>
        <v>1</v>
      </c>
      <c r="L6" s="13" t="n">
        <f aca="false">SUM(L2:L5)</f>
        <v>1</v>
      </c>
      <c r="M6" s="13" t="n">
        <f aca="false">SUM(M2:M5)</f>
        <v>0</v>
      </c>
      <c r="N6" s="13" t="n">
        <f aca="false">SUM(N2:N5)</f>
        <v>0</v>
      </c>
      <c r="O6" s="13" t="n">
        <f aca="false">SUM(O2:O5)</f>
        <v>0</v>
      </c>
      <c r="P6" s="13" t="n">
        <f aca="false">SUM(P2:P5)</f>
        <v>0</v>
      </c>
      <c r="Q6" s="13" t="n">
        <f aca="false">SUM(Q2:Q5)</f>
        <v>0</v>
      </c>
      <c r="R6" s="13" t="n">
        <f aca="false">SUM(R2:R5)</f>
        <v>0</v>
      </c>
      <c r="S6" s="13" t="n">
        <f aca="false">SUM(S2:S5)</f>
        <v>0</v>
      </c>
      <c r="T6" s="14" t="str">
        <f aca="false">IF(D6&gt;0,C6/D6,"")</f>
        <v/>
      </c>
      <c r="U6" s="15" t="n">
        <f aca="false">IF(C6&gt;0,F6/C6,"")</f>
        <v>0.0160668380462725</v>
      </c>
      <c r="V6" s="12" t="n">
        <f aca="false">IF(C6&gt;0,B6/C6*1000,"")</f>
        <v>114.042416452442</v>
      </c>
      <c r="W6" s="12" t="n">
        <f aca="false">IF(F6&gt;0,B6/F6,"")</f>
        <v>7.098</v>
      </c>
      <c r="X6" s="12" t="n">
        <f aca="false">IF(H6&gt;0,B6/H6,"")</f>
        <v>177.45</v>
      </c>
      <c r="Y6" s="16" t="n">
        <f aca="false">IF(F6&gt;0,G6/F6,"")</f>
        <v>0.64</v>
      </c>
      <c r="Z6" s="16" t="n">
        <f aca="false">IF(G6&gt;0,H6/G6,"")</f>
        <v>0.0625</v>
      </c>
      <c r="AA6" s="15" t="n">
        <f aca="false">IF(C6&gt;0,I6/C6,"")</f>
        <v>0.0218508997429306</v>
      </c>
      <c r="AB6" s="16" t="n">
        <f aca="false">IF(C6&gt;0,N6/C6,"")</f>
        <v>0</v>
      </c>
      <c r="AC6" s="16" t="str">
        <f aca="false">IF(N6&gt;0,R6/N6,"")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44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45</v>
      </c>
      <c r="B2" s="4" t="n">
        <v>97.45</v>
      </c>
      <c r="C2" s="5" t="n">
        <v>677</v>
      </c>
      <c r="D2" s="5" t="n">
        <v>461</v>
      </c>
      <c r="E2" s="5" t="n">
        <v>14</v>
      </c>
      <c r="F2" s="5" t="n">
        <v>8</v>
      </c>
      <c r="G2" s="5" t="n">
        <v>3</v>
      </c>
      <c r="H2" s="5" t="n">
        <v>0</v>
      </c>
      <c r="I2" s="5" t="n">
        <v>12</v>
      </c>
      <c r="J2" s="5" t="n">
        <v>3</v>
      </c>
      <c r="K2" s="5" t="n">
        <v>0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1.46854663774403</v>
      </c>
      <c r="U2" s="6" t="n">
        <f aca="false">IF(C2&gt;0,F2/C2,"")</f>
        <v>0.0118168389955687</v>
      </c>
      <c r="V2" s="4" t="n">
        <f aca="false">IF(C2&gt;0,B2/C2*1000,"")</f>
        <v>143.943870014771</v>
      </c>
      <c r="W2" s="4" t="n">
        <f aca="false">IF(F2&gt;0,B2/F2,"")</f>
        <v>12.18125</v>
      </c>
      <c r="X2" s="4" t="str">
        <f aca="false">IF(H2&gt;0,B2/H2,"")</f>
        <v/>
      </c>
      <c r="Y2" s="7" t="n">
        <f aca="false">IF(F2&gt;0,G2/F2,"")</f>
        <v>0.375</v>
      </c>
      <c r="Z2" s="7" t="n">
        <f aca="false">IF(G2&gt;0,H2/G2,"")</f>
        <v>0</v>
      </c>
      <c r="AA2" s="6" t="n">
        <f aca="false">IF(C2&gt;0,I2/C2,"")</f>
        <v>0.017725258493353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46</v>
      </c>
      <c r="B3" s="4" t="n">
        <v>41.47</v>
      </c>
      <c r="C3" s="5" t="n">
        <v>340</v>
      </c>
      <c r="D3" s="5" t="n">
        <v>234</v>
      </c>
      <c r="E3" s="5" t="n">
        <v>8</v>
      </c>
      <c r="F3" s="5" t="n">
        <v>4</v>
      </c>
      <c r="G3" s="5" t="n">
        <v>3</v>
      </c>
      <c r="H3" s="5" t="n">
        <v>0</v>
      </c>
      <c r="I3" s="5" t="n">
        <v>7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1.45299145299145</v>
      </c>
      <c r="U3" s="6" t="n">
        <f aca="false">IF(C3&gt;0,F3/C3,"")</f>
        <v>0.0117647058823529</v>
      </c>
      <c r="V3" s="4" t="n">
        <f aca="false">IF(C3&gt;0,B3/C3*1000,"")</f>
        <v>121.970588235294</v>
      </c>
      <c r="W3" s="4" t="n">
        <f aca="false">IF(F3&gt;0,B3/F3,"")</f>
        <v>10.3675</v>
      </c>
      <c r="X3" s="4" t="str">
        <f aca="false">IF(H3&gt;0,B3/H3,"")</f>
        <v/>
      </c>
      <c r="Y3" s="7" t="n">
        <f aca="false">IF(F3&gt;0,G3/F3,"")</f>
        <v>0.75</v>
      </c>
      <c r="Z3" s="7" t="n">
        <f aca="false">IF(G3&gt;0,H3/G3,"")</f>
        <v>0</v>
      </c>
      <c r="AA3" s="6" t="n">
        <f aca="false">IF(C3&gt;0,I3/C3,"")</f>
        <v>0.0205882352941176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47</v>
      </c>
      <c r="B4" s="4" t="n">
        <v>20.13</v>
      </c>
      <c r="C4" s="5" t="n">
        <v>194</v>
      </c>
      <c r="D4" s="5" t="n">
        <v>159</v>
      </c>
      <c r="E4" s="5" t="n">
        <v>4</v>
      </c>
      <c r="F4" s="5" t="n">
        <v>2</v>
      </c>
      <c r="G4" s="5" t="n">
        <v>1</v>
      </c>
      <c r="H4" s="5" t="n">
        <v>1</v>
      </c>
      <c r="I4" s="5" t="n">
        <v>4</v>
      </c>
      <c r="J4" s="5" t="n">
        <v>1</v>
      </c>
      <c r="K4" s="5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1.22012578616352</v>
      </c>
      <c r="U4" s="6" t="n">
        <f aca="false">IF(C4&gt;0,F4/C4,"")</f>
        <v>0.0103092783505155</v>
      </c>
      <c r="V4" s="4" t="n">
        <f aca="false">IF(C4&gt;0,B4/C4*1000,"")</f>
        <v>103.762886597938</v>
      </c>
      <c r="W4" s="4" t="n">
        <f aca="false">IF(F4&gt;0,B4/F4,"")</f>
        <v>10.065</v>
      </c>
      <c r="X4" s="4" t="n">
        <f aca="false">IF(H4&gt;0,B4/H4,"")</f>
        <v>20.13</v>
      </c>
      <c r="Y4" s="7" t="n">
        <f aca="false">IF(F4&gt;0,G4/F4,"")</f>
        <v>0.5</v>
      </c>
      <c r="Z4" s="7" t="n">
        <f aca="false">IF(G4&gt;0,H4/G4,"")</f>
        <v>1</v>
      </c>
      <c r="AA4" s="6" t="n">
        <f aca="false">IF(C4&gt;0,I4/C4,"")</f>
        <v>0.0206185567010309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48</v>
      </c>
      <c r="B5" s="4" t="n">
        <v>17.82</v>
      </c>
      <c r="C5" s="5" t="n">
        <v>337</v>
      </c>
      <c r="D5" s="5" t="n">
        <v>251</v>
      </c>
      <c r="E5" s="5" t="n">
        <v>9</v>
      </c>
      <c r="F5" s="5" t="n">
        <v>9</v>
      </c>
      <c r="G5" s="5" t="n">
        <v>7</v>
      </c>
      <c r="H5" s="5" t="n">
        <v>0</v>
      </c>
      <c r="I5" s="5" t="n">
        <v>9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1.34262948207171</v>
      </c>
      <c r="U5" s="6" t="n">
        <f aca="false">IF(C5&gt;0,F5/C5,"")</f>
        <v>0.0267062314540059</v>
      </c>
      <c r="V5" s="4" t="n">
        <f aca="false">IF(C5&gt;0,B5/C5*1000,"")</f>
        <v>52.8783382789318</v>
      </c>
      <c r="W5" s="4" t="n">
        <f aca="false">IF(F5&gt;0,B5/F5,"")</f>
        <v>1.98</v>
      </c>
      <c r="X5" s="4" t="str">
        <f aca="false">IF(H5&gt;0,B5/H5,"")</f>
        <v/>
      </c>
      <c r="Y5" s="7" t="n">
        <f aca="false">IF(F5&gt;0,G5/F5,"")</f>
        <v>0.777777777777778</v>
      </c>
      <c r="Z5" s="7" t="n">
        <f aca="false">IF(G5&gt;0,H5/G5,"")</f>
        <v>0</v>
      </c>
      <c r="AA5" s="6" t="n">
        <f aca="false">IF(C5&gt;0,I5/C5,"")</f>
        <v>0.0267062314540059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2" t="s">
        <v>49</v>
      </c>
      <c r="B6" s="4" t="n">
        <v>0.58</v>
      </c>
      <c r="C6" s="5" t="n">
        <v>8</v>
      </c>
      <c r="D6" s="5" t="n">
        <v>8</v>
      </c>
      <c r="E6" s="5" t="n">
        <v>2</v>
      </c>
      <c r="F6" s="5" t="n">
        <v>2</v>
      </c>
      <c r="G6" s="5" t="n">
        <v>2</v>
      </c>
      <c r="H6" s="5" t="n">
        <v>0</v>
      </c>
      <c r="I6" s="5" t="n">
        <v>2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</v>
      </c>
      <c r="U6" s="6" t="n">
        <f aca="false">IF(C6&gt;0,F6/C6,"")</f>
        <v>0.25</v>
      </c>
      <c r="V6" s="4" t="n">
        <f aca="false">IF(C6&gt;0,B6/C6*1000,"")</f>
        <v>72.5</v>
      </c>
      <c r="W6" s="4" t="n">
        <f aca="false">IF(F6&gt;0,B6/F6,"")</f>
        <v>0.29</v>
      </c>
      <c r="X6" s="4" t="str">
        <f aca="false">IF(H6&gt;0,B6/H6,"")</f>
        <v/>
      </c>
      <c r="Y6" s="7" t="n">
        <f aca="false">IF(F6&gt;0,G6/F6,"")</f>
        <v>1</v>
      </c>
      <c r="Z6" s="7" t="n">
        <f aca="false">IF(G6&gt;0,H6/G6,"")</f>
        <v>0</v>
      </c>
      <c r="AA6" s="6" t="n">
        <f aca="false">IF(C6&gt;0,I6/C6,"")</f>
        <v>0.25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11" t="s">
        <v>43</v>
      </c>
      <c r="B7" s="12" t="n">
        <f aca="false">SUM(B2:B6)</f>
        <v>177.45</v>
      </c>
      <c r="C7" s="13" t="n">
        <f aca="false">SUM(C2:C6)</f>
        <v>1556</v>
      </c>
      <c r="D7" s="13"/>
      <c r="E7" s="13" t="n">
        <f aca="false">SUM(E2:E6)</f>
        <v>37</v>
      </c>
      <c r="F7" s="13" t="n">
        <f aca="false">SUM(F2:F6)</f>
        <v>25</v>
      </c>
      <c r="G7" s="13" t="n">
        <f aca="false">SUM(G2:G6)</f>
        <v>16</v>
      </c>
      <c r="H7" s="13" t="n">
        <f aca="false">SUM(H2:H6)</f>
        <v>1</v>
      </c>
      <c r="I7" s="13" t="n">
        <f aca="false">SUM(I2:I6)</f>
        <v>34</v>
      </c>
      <c r="J7" s="13" t="n">
        <f aca="false">SUM(J2:J6)</f>
        <v>7</v>
      </c>
      <c r="K7" s="13" t="n">
        <f aca="false">SUM(K2:K6)</f>
        <v>1</v>
      </c>
      <c r="L7" s="13" t="n">
        <f aca="false">SUM(L2:L6)</f>
        <v>1</v>
      </c>
      <c r="M7" s="13" t="n">
        <f aca="false">SUM(M2:M6)</f>
        <v>0</v>
      </c>
      <c r="N7" s="13" t="n">
        <f aca="false">SUM(N2:N6)</f>
        <v>0</v>
      </c>
      <c r="O7" s="13" t="n">
        <f aca="false">SUM(O2:O6)</f>
        <v>0</v>
      </c>
      <c r="P7" s="13" t="n">
        <f aca="false">SUM(P2:P6)</f>
        <v>0</v>
      </c>
      <c r="Q7" s="13" t="n">
        <f aca="false">SUM(Q2:Q6)</f>
        <v>0</v>
      </c>
      <c r="R7" s="13" t="n">
        <f aca="false">SUM(R2:R6)</f>
        <v>0</v>
      </c>
      <c r="S7" s="13" t="n">
        <f aca="false">SUM(S2:S6)</f>
        <v>0</v>
      </c>
      <c r="T7" s="14" t="str">
        <f aca="false">IF(D7&gt;0,C7/D7,"")</f>
        <v/>
      </c>
      <c r="U7" s="15" t="n">
        <f aca="false">IF(C7&gt;0,F7/C7,"")</f>
        <v>0.0160668380462725</v>
      </c>
      <c r="V7" s="12" t="n">
        <f aca="false">IF(C7&gt;0,B7/C7*1000,"")</f>
        <v>114.042416452442</v>
      </c>
      <c r="W7" s="12" t="n">
        <f aca="false">IF(F7&gt;0,B7/F7,"")</f>
        <v>7.098</v>
      </c>
      <c r="X7" s="12" t="n">
        <f aca="false">IF(H7&gt;0,B7/H7,"")</f>
        <v>177.45</v>
      </c>
      <c r="Y7" s="16" t="n">
        <f aca="false">IF(F7&gt;0,G7/F7,"")</f>
        <v>0.64</v>
      </c>
      <c r="Z7" s="16" t="n">
        <f aca="false">IF(G7&gt;0,H7/G7,"")</f>
        <v>0.0625</v>
      </c>
      <c r="AA7" s="15" t="n">
        <f aca="false">IF(C7&gt;0,I7/C7,"")</f>
        <v>0.0218508997429306</v>
      </c>
      <c r="AB7" s="16" t="n">
        <f aca="false">IF(C7&gt;0,N7/C7,"")</f>
        <v>0</v>
      </c>
      <c r="AC7" s="16" t="str">
        <f aca="false">IF(N7&gt;0,R7/N7,"")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50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51</v>
      </c>
      <c r="B2" s="4" t="n">
        <v>53.75</v>
      </c>
      <c r="C2" s="5" t="n">
        <v>271</v>
      </c>
      <c r="D2" s="5" t="n">
        <v>184</v>
      </c>
      <c r="E2" s="5" t="n">
        <v>5</v>
      </c>
      <c r="F2" s="5" t="n">
        <v>4</v>
      </c>
      <c r="G2" s="5" t="n">
        <v>4</v>
      </c>
      <c r="H2" s="5" t="n">
        <v>0</v>
      </c>
      <c r="I2" s="5" t="n">
        <v>5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1.47282608695652</v>
      </c>
      <c r="U2" s="6" t="n">
        <f aca="false">IF(C2&gt;0,F2/C2,"")</f>
        <v>0.014760147601476</v>
      </c>
      <c r="V2" s="4" t="n">
        <f aca="false">IF(C2&gt;0,B2/C2*1000,"")</f>
        <v>198.339483394834</v>
      </c>
      <c r="W2" s="4" t="n">
        <f aca="false">IF(F2&gt;0,B2/F2,"")</f>
        <v>13.4375</v>
      </c>
      <c r="X2" s="4" t="str">
        <f aca="false">IF(H2&gt;0,B2/H2,"")</f>
        <v/>
      </c>
      <c r="Y2" s="7" t="n">
        <f aca="false">IF(F2&gt;0,G2/F2,"")</f>
        <v>1</v>
      </c>
      <c r="Z2" s="7" t="n">
        <f aca="false">IF(G2&gt;0,H2/G2,"")</f>
        <v>0</v>
      </c>
      <c r="AA2" s="6" t="n">
        <f aca="false">IF(C2&gt;0,I2/C2,"")</f>
        <v>0.018450184501845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52</v>
      </c>
      <c r="B3" s="4" t="n">
        <v>36.17</v>
      </c>
      <c r="C3" s="5" t="n">
        <v>263</v>
      </c>
      <c r="D3" s="5" t="n">
        <v>157</v>
      </c>
      <c r="E3" s="5" t="n">
        <v>11</v>
      </c>
      <c r="F3" s="5" t="n">
        <v>8</v>
      </c>
      <c r="G3" s="5" t="n">
        <v>6</v>
      </c>
      <c r="H3" s="5" t="n">
        <v>0</v>
      </c>
      <c r="I3" s="5" t="n">
        <v>10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1.67515923566879</v>
      </c>
      <c r="U3" s="6" t="n">
        <f aca="false">IF(C3&gt;0,F3/C3,"")</f>
        <v>0.0304182509505703</v>
      </c>
      <c r="V3" s="4" t="n">
        <f aca="false">IF(C3&gt;0,B3/C3*1000,"")</f>
        <v>137.528517110266</v>
      </c>
      <c r="W3" s="4" t="n">
        <f aca="false">IF(F3&gt;0,B3/F3,"")</f>
        <v>4.52125</v>
      </c>
      <c r="X3" s="4" t="str">
        <f aca="false">IF(H3&gt;0,B3/H3,"")</f>
        <v/>
      </c>
      <c r="Y3" s="7" t="n">
        <f aca="false">IF(F3&gt;0,G3/F3,"")</f>
        <v>0.75</v>
      </c>
      <c r="Z3" s="7" t="n">
        <f aca="false">IF(G3&gt;0,H3/G3,"")</f>
        <v>0</v>
      </c>
      <c r="AA3" s="6" t="n">
        <f aca="false">IF(C3&gt;0,I3/C3,"")</f>
        <v>0.0380228136882129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53</v>
      </c>
      <c r="B4" s="4" t="n">
        <v>33.65</v>
      </c>
      <c r="C4" s="5" t="n">
        <v>406</v>
      </c>
      <c r="D4" s="5" t="n">
        <v>227</v>
      </c>
      <c r="E4" s="5" t="n">
        <v>13</v>
      </c>
      <c r="F4" s="5" t="n">
        <v>8</v>
      </c>
      <c r="G4" s="5" t="n">
        <v>4</v>
      </c>
      <c r="H4" s="5" t="n">
        <v>1</v>
      </c>
      <c r="I4" s="5" t="n">
        <v>13</v>
      </c>
      <c r="J4" s="5" t="n">
        <v>3</v>
      </c>
      <c r="K4" s="5" t="n">
        <v>1</v>
      </c>
      <c r="L4" s="5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1.78854625550661</v>
      </c>
      <c r="U4" s="6" t="n">
        <f aca="false">IF(C4&gt;0,F4/C4,"")</f>
        <v>0.0197044334975369</v>
      </c>
      <c r="V4" s="4" t="n">
        <f aca="false">IF(C4&gt;0,B4/C4*1000,"")</f>
        <v>82.8817733990148</v>
      </c>
      <c r="W4" s="4" t="n">
        <f aca="false">IF(F4&gt;0,B4/F4,"")</f>
        <v>4.20625</v>
      </c>
      <c r="X4" s="4" t="n">
        <f aca="false">IF(H4&gt;0,B4/H4,"")</f>
        <v>33.65</v>
      </c>
      <c r="Y4" s="7" t="n">
        <f aca="false">IF(F4&gt;0,G4/F4,"")</f>
        <v>0.5</v>
      </c>
      <c r="Z4" s="7" t="n">
        <f aca="false">IF(G4&gt;0,H4/G4,"")</f>
        <v>0.25</v>
      </c>
      <c r="AA4" s="6" t="n">
        <f aca="false">IF(C4&gt;0,I4/C4,"")</f>
        <v>0.0320197044334975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54</v>
      </c>
      <c r="B5" s="4" t="n">
        <v>29.7</v>
      </c>
      <c r="C5" s="5" t="n">
        <v>329</v>
      </c>
      <c r="D5" s="5" t="n">
        <v>225</v>
      </c>
      <c r="E5" s="5" t="n">
        <v>3</v>
      </c>
      <c r="F5" s="5" t="n">
        <v>1</v>
      </c>
      <c r="G5" s="5" t="n">
        <v>1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1.46222222222222</v>
      </c>
      <c r="U5" s="6" t="n">
        <f aca="false">IF(C5&gt;0,F5/C5,"")</f>
        <v>0.00303951367781155</v>
      </c>
      <c r="V5" s="4" t="n">
        <f aca="false">IF(C5&gt;0,B5/C5*1000,"")</f>
        <v>90.273556231003</v>
      </c>
      <c r="W5" s="4" t="n">
        <f aca="false">IF(F5&gt;0,B5/F5,"")</f>
        <v>29.7</v>
      </c>
      <c r="X5" s="4" t="str">
        <f aca="false">IF(H5&gt;0,B5/H5,"")</f>
        <v/>
      </c>
      <c r="Y5" s="7" t="n">
        <f aca="false">IF(F5&gt;0,G5/F5,"")</f>
        <v>1</v>
      </c>
      <c r="Z5" s="7" t="n">
        <f aca="false">IF(G5&gt;0,H5/G5,"")</f>
        <v>0</v>
      </c>
      <c r="AA5" s="6" t="n">
        <f aca="false">IF(C5&gt;0,I5/C5,"")</f>
        <v>0.00303951367781155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2" t="s">
        <v>55</v>
      </c>
      <c r="B6" s="4" t="n">
        <v>24.18</v>
      </c>
      <c r="C6" s="5" t="n">
        <v>287</v>
      </c>
      <c r="D6" s="5" t="n">
        <v>144</v>
      </c>
      <c r="E6" s="5" t="n">
        <v>5</v>
      </c>
      <c r="F6" s="5" t="n">
        <v>4</v>
      </c>
      <c r="G6" s="5" t="n">
        <v>1</v>
      </c>
      <c r="H6" s="5" t="n">
        <v>0</v>
      </c>
      <c r="I6" s="5" t="n">
        <v>5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1.99305555555556</v>
      </c>
      <c r="U6" s="6" t="n">
        <f aca="false">IF(C6&gt;0,F6/C6,"")</f>
        <v>0.0139372822299652</v>
      </c>
      <c r="V6" s="4" t="n">
        <f aca="false">IF(C6&gt;0,B6/C6*1000,"")</f>
        <v>84.2508710801394</v>
      </c>
      <c r="W6" s="4" t="n">
        <f aca="false">IF(F6&gt;0,B6/F6,"")</f>
        <v>6.045</v>
      </c>
      <c r="X6" s="4" t="str">
        <f aca="false">IF(H6&gt;0,B6/H6,"")</f>
        <v/>
      </c>
      <c r="Y6" s="7" t="n">
        <f aca="false">IF(F6&gt;0,G6/F6,"")</f>
        <v>0.25</v>
      </c>
      <c r="Z6" s="7" t="n">
        <f aca="false">IF(G6&gt;0,H6/G6,"")</f>
        <v>0</v>
      </c>
      <c r="AA6" s="6" t="n">
        <f aca="false">IF(C6&gt;0,I6/C6,"")</f>
        <v>0.0174216027874564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11" t="s">
        <v>43</v>
      </c>
      <c r="B7" s="12" t="n">
        <f aca="false">SUM(B2:B6)</f>
        <v>177.45</v>
      </c>
      <c r="C7" s="13" t="n">
        <f aca="false">SUM(C2:C6)</f>
        <v>1556</v>
      </c>
      <c r="D7" s="13"/>
      <c r="E7" s="13" t="n">
        <f aca="false">SUM(E2:E6)</f>
        <v>37</v>
      </c>
      <c r="F7" s="13" t="n">
        <f aca="false">SUM(F2:F6)</f>
        <v>25</v>
      </c>
      <c r="G7" s="13" t="n">
        <f aca="false">SUM(G2:G6)</f>
        <v>16</v>
      </c>
      <c r="H7" s="13" t="n">
        <f aca="false">SUM(H2:H6)</f>
        <v>1</v>
      </c>
      <c r="I7" s="13" t="n">
        <f aca="false">SUM(I2:I6)</f>
        <v>34</v>
      </c>
      <c r="J7" s="13" t="n">
        <f aca="false">SUM(J2:J6)</f>
        <v>7</v>
      </c>
      <c r="K7" s="13" t="n">
        <f aca="false">SUM(K2:K6)</f>
        <v>1</v>
      </c>
      <c r="L7" s="13" t="n">
        <f aca="false">SUM(L2:L6)</f>
        <v>1</v>
      </c>
      <c r="M7" s="13" t="n">
        <f aca="false">SUM(M2:M6)</f>
        <v>0</v>
      </c>
      <c r="N7" s="13" t="n">
        <f aca="false">SUM(N2:N6)</f>
        <v>0</v>
      </c>
      <c r="O7" s="13" t="n">
        <f aca="false">SUM(O2:O6)</f>
        <v>0</v>
      </c>
      <c r="P7" s="13" t="n">
        <f aca="false">SUM(P2:P6)</f>
        <v>0</v>
      </c>
      <c r="Q7" s="13" t="n">
        <f aca="false">SUM(Q2:Q6)</f>
        <v>0</v>
      </c>
      <c r="R7" s="13" t="n">
        <f aca="false">SUM(R2:R6)</f>
        <v>0</v>
      </c>
      <c r="S7" s="13" t="n">
        <f aca="false">SUM(S2:S6)</f>
        <v>0</v>
      </c>
      <c r="T7" s="14" t="str">
        <f aca="false">IF(D7&gt;0,C7/D7,"")</f>
        <v/>
      </c>
      <c r="U7" s="15" t="n">
        <f aca="false">IF(C7&gt;0,F7/C7,"")</f>
        <v>0.0160668380462725</v>
      </c>
      <c r="V7" s="12" t="n">
        <f aca="false">IF(C7&gt;0,B7/C7*1000,"")</f>
        <v>114.042416452442</v>
      </c>
      <c r="W7" s="12" t="n">
        <f aca="false">IF(F7&gt;0,B7/F7,"")</f>
        <v>7.098</v>
      </c>
      <c r="X7" s="12" t="n">
        <f aca="false">IF(H7&gt;0,B7/H7,"")</f>
        <v>177.45</v>
      </c>
      <c r="Y7" s="16" t="n">
        <f aca="false">IF(F7&gt;0,G7/F7,"")</f>
        <v>0.64</v>
      </c>
      <c r="Z7" s="16" t="n">
        <f aca="false">IF(G7&gt;0,H7/G7,"")</f>
        <v>0.0625</v>
      </c>
      <c r="AA7" s="15" t="n">
        <f aca="false">IF(C7&gt;0,I7/C7,"")</f>
        <v>0.0218508997429306</v>
      </c>
      <c r="AB7" s="16" t="n">
        <f aca="false">IF(C7&gt;0,N7/C7,"")</f>
        <v>0</v>
      </c>
      <c r="AC7" s="16" t="str">
        <f aca="false">IF(N7&gt;0,R7/N7,"")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56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57</v>
      </c>
      <c r="B2" s="4" t="n">
        <v>100.5</v>
      </c>
      <c r="C2" s="5" t="n">
        <v>810</v>
      </c>
      <c r="D2" s="5" t="n">
        <v>517</v>
      </c>
      <c r="E2" s="5" t="n">
        <v>17</v>
      </c>
      <c r="F2" s="5" t="n">
        <v>14</v>
      </c>
      <c r="G2" s="5" t="n">
        <v>8</v>
      </c>
      <c r="H2" s="5" t="n">
        <v>1</v>
      </c>
      <c r="I2" s="5" t="n">
        <v>15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1.56673114119923</v>
      </c>
      <c r="U2" s="6" t="n">
        <f aca="false">IF(C2&gt;0,F2/C2,"")</f>
        <v>0.017283950617284</v>
      </c>
      <c r="V2" s="4" t="n">
        <f aca="false">IF(C2&gt;0,B2/C2*1000,"")</f>
        <v>124.074074074074</v>
      </c>
      <c r="W2" s="4" t="n">
        <f aca="false">IF(F2&gt;0,B2/F2,"")</f>
        <v>7.17857142857143</v>
      </c>
      <c r="X2" s="4" t="n">
        <f aca="false">IF(H2&gt;0,B2/H2,"")</f>
        <v>100.5</v>
      </c>
      <c r="Y2" s="7" t="n">
        <f aca="false">IF(F2&gt;0,G2/F2,"")</f>
        <v>0.571428571428571</v>
      </c>
      <c r="Z2" s="7" t="n">
        <f aca="false">IF(G2&gt;0,H2/G2,"")</f>
        <v>0.125</v>
      </c>
      <c r="AA2" s="6" t="n">
        <f aca="false">IF(C2&gt;0,I2/C2,"")</f>
        <v>0.0185185185185185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58</v>
      </c>
      <c r="B3" s="4" t="n">
        <v>76.44</v>
      </c>
      <c r="C3" s="5" t="n">
        <v>733</v>
      </c>
      <c r="D3" s="5" t="n">
        <v>402</v>
      </c>
      <c r="E3" s="5" t="n">
        <v>20</v>
      </c>
      <c r="F3" s="5" t="n">
        <v>11</v>
      </c>
      <c r="G3" s="5" t="n">
        <v>8</v>
      </c>
      <c r="H3" s="5" t="n">
        <v>0</v>
      </c>
      <c r="I3" s="5" t="n">
        <v>19</v>
      </c>
      <c r="J3" s="5" t="n">
        <v>6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1.82338308457711</v>
      </c>
      <c r="U3" s="6" t="n">
        <f aca="false">IF(C3&gt;0,F3/C3,"")</f>
        <v>0.0150068212824011</v>
      </c>
      <c r="V3" s="4" t="n">
        <f aca="false">IF(C3&gt;0,B3/C3*1000,"")</f>
        <v>104.283765347885</v>
      </c>
      <c r="W3" s="4" t="n">
        <f aca="false">IF(F3&gt;0,B3/F3,"")</f>
        <v>6.94909090909091</v>
      </c>
      <c r="X3" s="4" t="str">
        <f aca="false">IF(H3&gt;0,B3/H3,"")</f>
        <v/>
      </c>
      <c r="Y3" s="7" t="n">
        <f aca="false">IF(F3&gt;0,G3/F3,"")</f>
        <v>0.727272727272727</v>
      </c>
      <c r="Z3" s="7" t="n">
        <f aca="false">IF(G3&gt;0,H3/G3,"")</f>
        <v>0</v>
      </c>
      <c r="AA3" s="6" t="n">
        <f aca="false">IF(C3&gt;0,I3/C3,"")</f>
        <v>0.0259208731241473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59</v>
      </c>
      <c r="B4" s="4" t="n">
        <v>0.51</v>
      </c>
      <c r="C4" s="5" t="n">
        <v>13</v>
      </c>
      <c r="D4" s="5" t="n">
        <v>12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1.08333333333333</v>
      </c>
      <c r="U4" s="6" t="n">
        <f aca="false">IF(C4&gt;0,F4/C4,"")</f>
        <v>0</v>
      </c>
      <c r="V4" s="4" t="n">
        <f aca="false">IF(C4&gt;0,B4/C4*1000,"")</f>
        <v>39.2307692307692</v>
      </c>
      <c r="W4" s="4" t="str">
        <f aca="false">IF(F4&gt;0,B4/F4,"")</f>
        <v/>
      </c>
      <c r="X4" s="4" t="str">
        <f aca="false">IF(H4&gt;0,B4/H4,"")</f>
        <v/>
      </c>
      <c r="Y4" s="7" t="str">
        <f aca="false">IF(F4&gt;0,G4/F4,"")</f>
        <v/>
      </c>
      <c r="Z4" s="7" t="str">
        <f aca="false">IF(G4&gt;0,H4/G4,"")</f>
        <v/>
      </c>
      <c r="AA4" s="6" t="n">
        <f aca="false">IF(C4&gt;0,I4/C4,"")</f>
        <v>0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11" t="s">
        <v>43</v>
      </c>
      <c r="B5" s="12" t="n">
        <f aca="false">SUM(B2:B4)</f>
        <v>177.45</v>
      </c>
      <c r="C5" s="13" t="n">
        <f aca="false">SUM(C2:C4)</f>
        <v>1556</v>
      </c>
      <c r="D5" s="13"/>
      <c r="E5" s="13" t="n">
        <f aca="false">SUM(E2:E4)</f>
        <v>37</v>
      </c>
      <c r="F5" s="13" t="n">
        <f aca="false">SUM(F2:F4)</f>
        <v>25</v>
      </c>
      <c r="G5" s="13" t="n">
        <f aca="false">SUM(G2:G4)</f>
        <v>16</v>
      </c>
      <c r="H5" s="13" t="n">
        <f aca="false">SUM(H2:H4)</f>
        <v>1</v>
      </c>
      <c r="I5" s="13" t="n">
        <f aca="false">SUM(I2:I4)</f>
        <v>34</v>
      </c>
      <c r="J5" s="13" t="n">
        <f aca="false">SUM(J2:J4)</f>
        <v>7</v>
      </c>
      <c r="K5" s="13" t="n">
        <f aca="false">SUM(K2:K4)</f>
        <v>1</v>
      </c>
      <c r="L5" s="13" t="n">
        <f aca="false">SUM(L2:L4)</f>
        <v>1</v>
      </c>
      <c r="M5" s="13" t="n">
        <f aca="false">SUM(M2:M4)</f>
        <v>0</v>
      </c>
      <c r="N5" s="13" t="n">
        <f aca="false">SUM(N2:N4)</f>
        <v>0</v>
      </c>
      <c r="O5" s="13" t="n">
        <f aca="false">SUM(O2:O4)</f>
        <v>0</v>
      </c>
      <c r="P5" s="13" t="n">
        <f aca="false">SUM(P2:P4)</f>
        <v>0</v>
      </c>
      <c r="Q5" s="13" t="n">
        <f aca="false">SUM(Q2:Q4)</f>
        <v>0</v>
      </c>
      <c r="R5" s="13" t="n">
        <f aca="false">SUM(R2:R4)</f>
        <v>0</v>
      </c>
      <c r="S5" s="13" t="n">
        <f aca="false">SUM(S2:S4)</f>
        <v>0</v>
      </c>
      <c r="T5" s="14" t="str">
        <f aca="false">IF(D5&gt;0,C5/D5,"")</f>
        <v/>
      </c>
      <c r="U5" s="15" t="n">
        <f aca="false">IF(C5&gt;0,F5/C5,"")</f>
        <v>0.0160668380462725</v>
      </c>
      <c r="V5" s="12" t="n">
        <f aca="false">IF(C5&gt;0,B5/C5*1000,"")</f>
        <v>114.042416452442</v>
      </c>
      <c r="W5" s="12" t="n">
        <f aca="false">IF(F5&gt;0,B5/F5,"")</f>
        <v>7.098</v>
      </c>
      <c r="X5" s="12" t="n">
        <f aca="false">IF(H5&gt;0,B5/H5,"")</f>
        <v>177.45</v>
      </c>
      <c r="Y5" s="16" t="n">
        <f aca="false">IF(F5&gt;0,G5/F5,"")</f>
        <v>0.64</v>
      </c>
      <c r="Z5" s="16" t="n">
        <f aca="false">IF(G5&gt;0,H5/G5,"")</f>
        <v>0.0625</v>
      </c>
      <c r="AA5" s="15" t="n">
        <f aca="false">IF(C5&gt;0,I5/C5,"")</f>
        <v>0.0218508997429306</v>
      </c>
      <c r="AB5" s="16" t="n">
        <f aca="false">IF(C5&gt;0,N5/C5,"")</f>
        <v>0</v>
      </c>
      <c r="AC5" s="16" t="str">
        <f aca="false">IF(N5&gt;0,R5/N5,"")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50</v>
      </c>
      <c r="B1" s="10" t="s">
        <v>56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51</v>
      </c>
      <c r="B2" s="2" t="s">
        <v>57</v>
      </c>
      <c r="C2" s="4" t="n">
        <v>32.46</v>
      </c>
      <c r="D2" s="5" t="n">
        <v>164</v>
      </c>
      <c r="E2" s="5" t="n">
        <v>109</v>
      </c>
      <c r="F2" s="5" t="n">
        <v>1</v>
      </c>
      <c r="G2" s="5" t="n">
        <v>1</v>
      </c>
      <c r="H2" s="5" t="n">
        <v>1</v>
      </c>
      <c r="I2" s="5" t="n">
        <v>0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f aca="false">IF(E2&gt;0,D2/E2,"")</f>
        <v>1.5045871559633</v>
      </c>
      <c r="V2" s="6" t="n">
        <f aca="false">IF(D2&gt;0,G2/D2,"")</f>
        <v>0.00609756097560976</v>
      </c>
      <c r="W2" s="4" t="n">
        <f aca="false">IF(D2&gt;0,C2/D2*1000,"")</f>
        <v>197.926829268293</v>
      </c>
      <c r="X2" s="4" t="n">
        <f aca="false">IF(G2&gt;0,C2/G2,"")</f>
        <v>32.46</v>
      </c>
      <c r="Y2" s="4" t="str">
        <f aca="false">IF(I2&gt;0,C2/I2,"")</f>
        <v/>
      </c>
      <c r="Z2" s="7" t="n">
        <f aca="false">IF(G2&gt;0,H2/G2,"")</f>
        <v>1</v>
      </c>
      <c r="AA2" s="7" t="n">
        <f aca="false">IF(H2&gt;0,I2/H2,"")</f>
        <v>0</v>
      </c>
      <c r="AB2" s="6" t="n">
        <f aca="false">IF(D2&gt;0,J2/D2,"")</f>
        <v>0.00609756097560976</v>
      </c>
      <c r="AC2" s="7" t="n">
        <f aca="false">IF(D2&gt;0,O2/D2,"")</f>
        <v>0</v>
      </c>
      <c r="AD2" s="7" t="str">
        <f aca="false">IF(O2&gt;0,S2/O2,"")</f>
        <v/>
      </c>
    </row>
    <row r="3" customFormat="false" ht="15" hidden="false" customHeight="false" outlineLevel="0" collapsed="false">
      <c r="A3" s="2" t="s">
        <v>51</v>
      </c>
      <c r="B3" s="2" t="s">
        <v>58</v>
      </c>
      <c r="C3" s="4" t="n">
        <v>21.18</v>
      </c>
      <c r="D3" s="5" t="n">
        <v>103</v>
      </c>
      <c r="E3" s="5" t="n">
        <v>71</v>
      </c>
      <c r="F3" s="5" t="n">
        <v>4</v>
      </c>
      <c r="G3" s="5" t="n">
        <v>3</v>
      </c>
      <c r="H3" s="5" t="n">
        <v>3</v>
      </c>
      <c r="I3" s="5" t="n">
        <v>0</v>
      </c>
      <c r="J3" s="5" t="n">
        <v>4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f aca="false">IF(E3&gt;0,D3/E3,"")</f>
        <v>1.45070422535211</v>
      </c>
      <c r="V3" s="6" t="n">
        <f aca="false">IF(D3&gt;0,G3/D3,"")</f>
        <v>0.029126213592233</v>
      </c>
      <c r="W3" s="4" t="n">
        <f aca="false">IF(D3&gt;0,C3/D3*1000,"")</f>
        <v>205.631067961165</v>
      </c>
      <c r="X3" s="4" t="n">
        <f aca="false">IF(G3&gt;0,C3/G3,"")</f>
        <v>7.06</v>
      </c>
      <c r="Y3" s="4" t="str">
        <f aca="false">IF(I3&gt;0,C3/I3,"")</f>
        <v/>
      </c>
      <c r="Z3" s="7" t="n">
        <f aca="false">IF(G3&gt;0,H3/G3,"")</f>
        <v>1</v>
      </c>
      <c r="AA3" s="7" t="n">
        <f aca="false">IF(H3&gt;0,I3/H3,"")</f>
        <v>0</v>
      </c>
      <c r="AB3" s="6" t="n">
        <f aca="false">IF(D3&gt;0,J3/D3,"")</f>
        <v>0.0388349514563107</v>
      </c>
      <c r="AC3" s="7" t="n">
        <f aca="false">IF(D3&gt;0,O3/D3,"")</f>
        <v>0</v>
      </c>
      <c r="AD3" s="7" t="str">
        <f aca="false">IF(O3&gt;0,S3/O3,"")</f>
        <v/>
      </c>
    </row>
    <row r="4" customFormat="false" ht="15" hidden="false" customHeight="false" outlineLevel="0" collapsed="false">
      <c r="A4" s="2" t="s">
        <v>53</v>
      </c>
      <c r="B4" s="2" t="s">
        <v>57</v>
      </c>
      <c r="C4" s="4" t="n">
        <v>19.94</v>
      </c>
      <c r="D4" s="5" t="n">
        <v>192</v>
      </c>
      <c r="E4" s="5" t="n">
        <v>114</v>
      </c>
      <c r="F4" s="5" t="n">
        <v>7</v>
      </c>
      <c r="G4" s="5" t="n">
        <v>5</v>
      </c>
      <c r="H4" s="5" t="n">
        <v>2</v>
      </c>
      <c r="I4" s="5" t="n">
        <v>1</v>
      </c>
      <c r="J4" s="5" t="n">
        <v>6</v>
      </c>
      <c r="K4" s="5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f aca="false">IF(E4&gt;0,D4/E4,"")</f>
        <v>1.68421052631579</v>
      </c>
      <c r="V4" s="6" t="n">
        <f aca="false">IF(D4&gt;0,G4/D4,"")</f>
        <v>0.0260416666666667</v>
      </c>
      <c r="W4" s="4" t="n">
        <f aca="false">IF(D4&gt;0,C4/D4*1000,"")</f>
        <v>103.854166666667</v>
      </c>
      <c r="X4" s="4" t="n">
        <f aca="false">IF(G4&gt;0,C4/G4,"")</f>
        <v>3.988</v>
      </c>
      <c r="Y4" s="4" t="n">
        <f aca="false">IF(I4&gt;0,C4/I4,"")</f>
        <v>19.94</v>
      </c>
      <c r="Z4" s="7" t="n">
        <f aca="false">IF(G4&gt;0,H4/G4,"")</f>
        <v>0.4</v>
      </c>
      <c r="AA4" s="7" t="n">
        <f aca="false">IF(H4&gt;0,I4/H4,"")</f>
        <v>0.5</v>
      </c>
      <c r="AB4" s="6" t="n">
        <f aca="false">IF(D4&gt;0,J4/D4,"")</f>
        <v>0.03125</v>
      </c>
      <c r="AC4" s="7" t="n">
        <f aca="false">IF(D4&gt;0,O4/D4,"")</f>
        <v>0</v>
      </c>
      <c r="AD4" s="7" t="str">
        <f aca="false">IF(O4&gt;0,S4/O4,"")</f>
        <v/>
      </c>
    </row>
    <row r="5" customFormat="false" ht="15" hidden="false" customHeight="false" outlineLevel="0" collapsed="false">
      <c r="A5" s="2" t="s">
        <v>52</v>
      </c>
      <c r="B5" s="2" t="s">
        <v>57</v>
      </c>
      <c r="C5" s="4" t="n">
        <v>19.92</v>
      </c>
      <c r="D5" s="5" t="n">
        <v>169</v>
      </c>
      <c r="E5" s="5" t="n">
        <v>101</v>
      </c>
      <c r="F5" s="5" t="n">
        <v>6</v>
      </c>
      <c r="G5" s="5" t="n">
        <v>6</v>
      </c>
      <c r="H5" s="5" t="n">
        <v>5</v>
      </c>
      <c r="I5" s="5" t="n">
        <v>0</v>
      </c>
      <c r="J5" s="5" t="n">
        <v>6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f aca="false">IF(E5&gt;0,D5/E5,"")</f>
        <v>1.67326732673267</v>
      </c>
      <c r="V5" s="6" t="n">
        <f aca="false">IF(D5&gt;0,G5/D5,"")</f>
        <v>0.0355029585798817</v>
      </c>
      <c r="W5" s="4" t="n">
        <f aca="false">IF(D5&gt;0,C5/D5*1000,"")</f>
        <v>117.869822485207</v>
      </c>
      <c r="X5" s="4" t="n">
        <f aca="false">IF(G5&gt;0,C5/G5,"")</f>
        <v>3.32</v>
      </c>
      <c r="Y5" s="4" t="str">
        <f aca="false">IF(I5&gt;0,C5/I5,"")</f>
        <v/>
      </c>
      <c r="Z5" s="7" t="n">
        <f aca="false">IF(G5&gt;0,H5/G5,"")</f>
        <v>0.833333333333333</v>
      </c>
      <c r="AA5" s="7" t="n">
        <f aca="false">IF(H5&gt;0,I5/H5,"")</f>
        <v>0</v>
      </c>
      <c r="AB5" s="6" t="n">
        <f aca="false">IF(D5&gt;0,J5/D5,"")</f>
        <v>0.0355029585798817</v>
      </c>
      <c r="AC5" s="7" t="n">
        <f aca="false">IF(D5&gt;0,O5/D5,"")</f>
        <v>0</v>
      </c>
      <c r="AD5" s="7" t="str">
        <f aca="false">IF(O5&gt;0,S5/O5,"")</f>
        <v/>
      </c>
    </row>
    <row r="6" customFormat="false" ht="15" hidden="false" customHeight="false" outlineLevel="0" collapsed="false">
      <c r="A6" s="2" t="s">
        <v>52</v>
      </c>
      <c r="B6" s="2" t="s">
        <v>58</v>
      </c>
      <c r="C6" s="4" t="n">
        <v>16</v>
      </c>
      <c r="D6" s="5" t="n">
        <v>91</v>
      </c>
      <c r="E6" s="5" t="n">
        <v>53</v>
      </c>
      <c r="F6" s="5" t="n">
        <v>5</v>
      </c>
      <c r="G6" s="5" t="n">
        <v>2</v>
      </c>
      <c r="H6" s="5" t="n">
        <v>1</v>
      </c>
      <c r="I6" s="5" t="n">
        <v>0</v>
      </c>
      <c r="J6" s="5" t="n">
        <v>4</v>
      </c>
      <c r="K6" s="5" t="n">
        <v>2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f aca="false">IF(E6&gt;0,D6/E6,"")</f>
        <v>1.71698113207547</v>
      </c>
      <c r="V6" s="6" t="n">
        <f aca="false">IF(D6&gt;0,G6/D6,"")</f>
        <v>0.021978021978022</v>
      </c>
      <c r="W6" s="4" t="n">
        <f aca="false">IF(D6&gt;0,C6/D6*1000,"")</f>
        <v>175.824175824176</v>
      </c>
      <c r="X6" s="4" t="n">
        <f aca="false">IF(G6&gt;0,C6/G6,"")</f>
        <v>8</v>
      </c>
      <c r="Y6" s="4" t="str">
        <f aca="false">IF(I6&gt;0,C6/I6,"")</f>
        <v/>
      </c>
      <c r="Z6" s="7" t="n">
        <f aca="false">IF(G6&gt;0,H6/G6,"")</f>
        <v>0.5</v>
      </c>
      <c r="AA6" s="7" t="n">
        <f aca="false">IF(H6&gt;0,I6/H6,"")</f>
        <v>0</v>
      </c>
      <c r="AB6" s="6" t="n">
        <f aca="false">IF(D6&gt;0,J6/D6,"")</f>
        <v>0.043956043956044</v>
      </c>
      <c r="AC6" s="7" t="n">
        <f aca="false">IF(D6&gt;0,O6/D6,"")</f>
        <v>0</v>
      </c>
      <c r="AD6" s="7" t="str">
        <f aca="false">IF(O6&gt;0,S6/O6,"")</f>
        <v/>
      </c>
    </row>
    <row r="7" customFormat="false" ht="15" hidden="false" customHeight="false" outlineLevel="0" collapsed="false">
      <c r="A7" s="2" t="s">
        <v>54</v>
      </c>
      <c r="B7" s="2" t="s">
        <v>58</v>
      </c>
      <c r="C7" s="4" t="n">
        <v>14.86</v>
      </c>
      <c r="D7" s="5" t="n">
        <v>172</v>
      </c>
      <c r="E7" s="5" t="n">
        <v>107</v>
      </c>
      <c r="F7" s="5" t="n">
        <v>3</v>
      </c>
      <c r="G7" s="5" t="n">
        <v>1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f aca="false">IF(E7&gt;0,D7/E7,"")</f>
        <v>1.60747663551402</v>
      </c>
      <c r="V7" s="6" t="n">
        <f aca="false">IF(D7&gt;0,G7/D7,"")</f>
        <v>0.00581395348837209</v>
      </c>
      <c r="W7" s="4" t="n">
        <f aca="false">IF(D7&gt;0,C7/D7*1000,"")</f>
        <v>86.3953488372093</v>
      </c>
      <c r="X7" s="4" t="n">
        <f aca="false">IF(G7&gt;0,C7/G7,"")</f>
        <v>14.86</v>
      </c>
      <c r="Y7" s="4" t="str">
        <f aca="false">IF(I7&gt;0,C7/I7,"")</f>
        <v/>
      </c>
      <c r="Z7" s="7" t="n">
        <f aca="false">IF(G7&gt;0,H7/G7,"")</f>
        <v>1</v>
      </c>
      <c r="AA7" s="7" t="n">
        <f aca="false">IF(H7&gt;0,I7/H7,"")</f>
        <v>0</v>
      </c>
      <c r="AB7" s="6" t="n">
        <f aca="false">IF(D7&gt;0,J7/D7,"")</f>
        <v>0.00581395348837209</v>
      </c>
      <c r="AC7" s="7" t="n">
        <f aca="false">IF(D7&gt;0,O7/D7,"")</f>
        <v>0</v>
      </c>
      <c r="AD7" s="7" t="str">
        <f aca="false">IF(O7&gt;0,S7/O7,"")</f>
        <v/>
      </c>
    </row>
    <row r="8" customFormat="false" ht="15" hidden="false" customHeight="false" outlineLevel="0" collapsed="false">
      <c r="A8" s="2" t="s">
        <v>54</v>
      </c>
      <c r="B8" s="2" t="s">
        <v>57</v>
      </c>
      <c r="C8" s="4" t="n">
        <v>14.83</v>
      </c>
      <c r="D8" s="5" t="n">
        <v>156</v>
      </c>
      <c r="E8" s="5" t="n">
        <v>117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f aca="false">IF(E8&gt;0,D8/E8,"")</f>
        <v>1.33333333333333</v>
      </c>
      <c r="V8" s="6" t="n">
        <f aca="false">IF(D8&gt;0,G8/D8,"")</f>
        <v>0</v>
      </c>
      <c r="W8" s="4" t="n">
        <f aca="false">IF(D8&gt;0,C8/D8*1000,"")</f>
        <v>95.0641025641026</v>
      </c>
      <c r="X8" s="4" t="str">
        <f aca="false">IF(G8&gt;0,C8/G8,"")</f>
        <v/>
      </c>
      <c r="Y8" s="4" t="str">
        <f aca="false">IF(I8&gt;0,C8/I8,"")</f>
        <v/>
      </c>
      <c r="Z8" s="7" t="str">
        <f aca="false">IF(G8&gt;0,H8/G8,"")</f>
        <v/>
      </c>
      <c r="AA8" s="7" t="str">
        <f aca="false">IF(H8&gt;0,I8/H8,"")</f>
        <v/>
      </c>
      <c r="AB8" s="6" t="n">
        <f aca="false">IF(D8&gt;0,J8/D8,"")</f>
        <v>0</v>
      </c>
      <c r="AC8" s="7" t="n">
        <f aca="false">IF(D8&gt;0,O8/D8,"")</f>
        <v>0</v>
      </c>
      <c r="AD8" s="7" t="str">
        <f aca="false">IF(O8&gt;0,S8/O8,"")</f>
        <v/>
      </c>
    </row>
    <row r="9" customFormat="false" ht="15" hidden="false" customHeight="false" outlineLevel="0" collapsed="false">
      <c r="A9" s="2" t="s">
        <v>53</v>
      </c>
      <c r="B9" s="2" t="s">
        <v>58</v>
      </c>
      <c r="C9" s="4" t="n">
        <v>13.69</v>
      </c>
      <c r="D9" s="5" t="n">
        <v>213</v>
      </c>
      <c r="E9" s="5" t="n">
        <v>112</v>
      </c>
      <c r="F9" s="5" t="n">
        <v>6</v>
      </c>
      <c r="G9" s="5" t="n">
        <v>3</v>
      </c>
      <c r="H9" s="5" t="n">
        <v>2</v>
      </c>
      <c r="I9" s="5" t="n">
        <v>0</v>
      </c>
      <c r="J9" s="5" t="n">
        <v>7</v>
      </c>
      <c r="K9" s="5" t="n">
        <v>2</v>
      </c>
      <c r="L9" s="5" t="n">
        <v>1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f aca="false">IF(E9&gt;0,D9/E9,"")</f>
        <v>1.90178571428571</v>
      </c>
      <c r="V9" s="6" t="n">
        <f aca="false">IF(D9&gt;0,G9/D9,"")</f>
        <v>0.0140845070422535</v>
      </c>
      <c r="W9" s="4" t="n">
        <f aca="false">IF(D9&gt;0,C9/D9*1000,"")</f>
        <v>64.2723004694836</v>
      </c>
      <c r="X9" s="4" t="n">
        <f aca="false">IF(G9&gt;0,C9/G9,"")</f>
        <v>4.56333333333333</v>
      </c>
      <c r="Y9" s="4" t="str">
        <f aca="false">IF(I9&gt;0,C9/I9,"")</f>
        <v/>
      </c>
      <c r="Z9" s="7" t="n">
        <f aca="false">IF(G9&gt;0,H9/G9,"")</f>
        <v>0.666666666666667</v>
      </c>
      <c r="AA9" s="7" t="n">
        <f aca="false">IF(H9&gt;0,I9/H9,"")</f>
        <v>0</v>
      </c>
      <c r="AB9" s="6" t="n">
        <f aca="false">IF(D9&gt;0,J9/D9,"")</f>
        <v>0.0328638497652582</v>
      </c>
      <c r="AC9" s="7" t="n">
        <f aca="false">IF(D9&gt;0,O9/D9,"")</f>
        <v>0</v>
      </c>
      <c r="AD9" s="7" t="str">
        <f aca="false">IF(O9&gt;0,S9/O9,"")</f>
        <v/>
      </c>
    </row>
    <row r="10" customFormat="false" ht="15" hidden="false" customHeight="false" outlineLevel="0" collapsed="false">
      <c r="A10" s="2" t="s">
        <v>55</v>
      </c>
      <c r="B10" s="2" t="s">
        <v>57</v>
      </c>
      <c r="C10" s="4" t="n">
        <v>13.35</v>
      </c>
      <c r="D10" s="5" t="n">
        <v>129</v>
      </c>
      <c r="E10" s="5" t="n">
        <v>75</v>
      </c>
      <c r="F10" s="5" t="n">
        <v>3</v>
      </c>
      <c r="G10" s="5" t="n">
        <v>2</v>
      </c>
      <c r="H10" s="5" t="n">
        <v>0</v>
      </c>
      <c r="I10" s="5" t="n">
        <v>0</v>
      </c>
      <c r="J10" s="5" t="n">
        <v>2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f aca="false">IF(E10&gt;0,D10/E10,"")</f>
        <v>1.72</v>
      </c>
      <c r="V10" s="6" t="n">
        <f aca="false">IF(D10&gt;0,G10/D10,"")</f>
        <v>0.0155038759689922</v>
      </c>
      <c r="W10" s="4" t="n">
        <f aca="false">IF(D10&gt;0,C10/D10*1000,"")</f>
        <v>103.488372093023</v>
      </c>
      <c r="X10" s="4" t="n">
        <f aca="false">IF(G10&gt;0,C10/G10,"")</f>
        <v>6.675</v>
      </c>
      <c r="Y10" s="4" t="str">
        <f aca="false">IF(I10&gt;0,C10/I10,"")</f>
        <v/>
      </c>
      <c r="Z10" s="7" t="n">
        <f aca="false">IF(G10&gt;0,H10/G10,"")</f>
        <v>0</v>
      </c>
      <c r="AA10" s="7" t="str">
        <f aca="false">IF(H10&gt;0,I10/H10,"")</f>
        <v/>
      </c>
      <c r="AB10" s="6" t="n">
        <f aca="false">IF(D10&gt;0,J10/D10,"")</f>
        <v>0.0155038759689922</v>
      </c>
      <c r="AC10" s="7" t="n">
        <f aca="false">IF(D10&gt;0,O10/D10,"")</f>
        <v>0</v>
      </c>
      <c r="AD10" s="7" t="str">
        <f aca="false">IF(O10&gt;0,S10/O10,"")</f>
        <v/>
      </c>
    </row>
    <row r="11" customFormat="false" ht="15" hidden="false" customHeight="false" outlineLevel="0" collapsed="false">
      <c r="A11" s="2" t="s">
        <v>55</v>
      </c>
      <c r="B11" s="2" t="s">
        <v>58</v>
      </c>
      <c r="C11" s="4" t="n">
        <v>10.71</v>
      </c>
      <c r="D11" s="5" t="n">
        <v>154</v>
      </c>
      <c r="E11" s="5" t="n">
        <v>66</v>
      </c>
      <c r="F11" s="5" t="n">
        <v>2</v>
      </c>
      <c r="G11" s="5" t="n">
        <v>2</v>
      </c>
      <c r="H11" s="5" t="n">
        <v>1</v>
      </c>
      <c r="I11" s="5" t="n">
        <v>0</v>
      </c>
      <c r="J11" s="5" t="n">
        <v>3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f aca="false">IF(E11&gt;0,D11/E11,"")</f>
        <v>2.33333333333333</v>
      </c>
      <c r="V11" s="6" t="n">
        <f aca="false">IF(D11&gt;0,G11/D11,"")</f>
        <v>0.012987012987013</v>
      </c>
      <c r="W11" s="4" t="n">
        <f aca="false">IF(D11&gt;0,C11/D11*1000,"")</f>
        <v>69.5454545454546</v>
      </c>
      <c r="X11" s="4" t="n">
        <f aca="false">IF(G11&gt;0,C11/G11,"")</f>
        <v>5.355</v>
      </c>
      <c r="Y11" s="4" t="str">
        <f aca="false">IF(I11&gt;0,C11/I11,"")</f>
        <v/>
      </c>
      <c r="Z11" s="7" t="n">
        <f aca="false">IF(G11&gt;0,H11/G11,"")</f>
        <v>0.5</v>
      </c>
      <c r="AA11" s="7" t="n">
        <f aca="false">IF(H11&gt;0,I11/H11,"")</f>
        <v>0</v>
      </c>
      <c r="AB11" s="6" t="n">
        <f aca="false">IF(D11&gt;0,J11/D11,"")</f>
        <v>0.0194805194805195</v>
      </c>
      <c r="AC11" s="7" t="n">
        <f aca="false">IF(D11&gt;0,O11/D11,"")</f>
        <v>0</v>
      </c>
      <c r="AD11" s="7" t="str">
        <f aca="false">IF(O11&gt;0,S11/O11,"")</f>
        <v/>
      </c>
    </row>
    <row r="12" customFormat="false" ht="15" hidden="false" customHeight="false" outlineLevel="0" collapsed="false">
      <c r="A12" s="2" t="s">
        <v>52</v>
      </c>
      <c r="B12" s="2" t="s">
        <v>59</v>
      </c>
      <c r="C12" s="4" t="n">
        <v>0.25</v>
      </c>
      <c r="D12" s="5" t="n">
        <v>3</v>
      </c>
      <c r="E12" s="5" t="n">
        <v>3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f aca="false">IF(E12&gt;0,D12/E12,"")</f>
        <v>1</v>
      </c>
      <c r="V12" s="6" t="n">
        <f aca="false">IF(D12&gt;0,G12/D12,"")</f>
        <v>0</v>
      </c>
      <c r="W12" s="4" t="n">
        <f aca="false">IF(D12&gt;0,C12/D12*1000,"")</f>
        <v>83.3333333333333</v>
      </c>
      <c r="X12" s="4" t="str">
        <f aca="false">IF(G12&gt;0,C12/G12,"")</f>
        <v/>
      </c>
      <c r="Y12" s="4" t="str">
        <f aca="false">IF(I12&gt;0,C12/I12,"")</f>
        <v/>
      </c>
      <c r="Z12" s="7" t="str">
        <f aca="false">IF(G12&gt;0,H12/G12,"")</f>
        <v/>
      </c>
      <c r="AA12" s="7" t="str">
        <f aca="false">IF(H12&gt;0,I12/H12,"")</f>
        <v/>
      </c>
      <c r="AB12" s="6" t="n">
        <f aca="false">IF(D12&gt;0,J12/D12,"")</f>
        <v>0</v>
      </c>
      <c r="AC12" s="7" t="n">
        <f aca="false">IF(D12&gt;0,O12/D12,"")</f>
        <v>0</v>
      </c>
      <c r="AD12" s="7" t="str">
        <f aca="false">IF(O12&gt;0,S12/O12,"")</f>
        <v/>
      </c>
    </row>
    <row r="13" customFormat="false" ht="15" hidden="false" customHeight="false" outlineLevel="0" collapsed="false">
      <c r="A13" s="2" t="s">
        <v>55</v>
      </c>
      <c r="B13" s="2" t="s">
        <v>59</v>
      </c>
      <c r="C13" s="4" t="n">
        <v>0.12</v>
      </c>
      <c r="D13" s="5" t="n">
        <v>4</v>
      </c>
      <c r="E13" s="5" t="n">
        <v>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f aca="false">IF(E13&gt;0,D13/E13,"")</f>
        <v>1.33333333333333</v>
      </c>
      <c r="V13" s="6" t="n">
        <f aca="false">IF(D13&gt;0,G13/D13,"")</f>
        <v>0</v>
      </c>
      <c r="W13" s="4" t="n">
        <f aca="false">IF(D13&gt;0,C13/D13*1000,"")</f>
        <v>30</v>
      </c>
      <c r="X13" s="4" t="str">
        <f aca="false">IF(G13&gt;0,C13/G13,"")</f>
        <v/>
      </c>
      <c r="Y13" s="4" t="str">
        <f aca="false">IF(I13&gt;0,C13/I13,"")</f>
        <v/>
      </c>
      <c r="Z13" s="7" t="str">
        <f aca="false">IF(G13&gt;0,H13/G13,"")</f>
        <v/>
      </c>
      <c r="AA13" s="7" t="str">
        <f aca="false">IF(H13&gt;0,I13/H13,"")</f>
        <v/>
      </c>
      <c r="AB13" s="6" t="n">
        <f aca="false">IF(D13&gt;0,J13/D13,"")</f>
        <v>0</v>
      </c>
      <c r="AC13" s="7" t="n">
        <f aca="false">IF(D13&gt;0,O13/D13,"")</f>
        <v>0</v>
      </c>
      <c r="AD13" s="7" t="str">
        <f aca="false">IF(O13&gt;0,S13/O13,"")</f>
        <v/>
      </c>
    </row>
    <row r="14" customFormat="false" ht="15" hidden="false" customHeight="false" outlineLevel="0" collapsed="false">
      <c r="A14" s="2" t="s">
        <v>51</v>
      </c>
      <c r="B14" s="2" t="s">
        <v>59</v>
      </c>
      <c r="C14" s="4" t="n">
        <v>0.11</v>
      </c>
      <c r="D14" s="5" t="n">
        <v>4</v>
      </c>
      <c r="E14" s="5" t="n">
        <v>4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1</v>
      </c>
      <c r="V14" s="6" t="n">
        <f aca="false">IF(D14&gt;0,G14/D14,"")</f>
        <v>0</v>
      </c>
      <c r="W14" s="4" t="n">
        <f aca="false">IF(D14&gt;0,C14/D14*1000,"")</f>
        <v>27.5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</v>
      </c>
      <c r="AC14" s="7" t="n">
        <f aca="false">IF(D14&gt;0,O14/D14,"")</f>
        <v>0</v>
      </c>
      <c r="AD14" s="7" t="str">
        <f aca="false">IF(O14&gt;0,S14/O14,"")</f>
        <v/>
      </c>
    </row>
    <row r="15" customFormat="false" ht="15" hidden="false" customHeight="false" outlineLevel="0" collapsed="false">
      <c r="A15" s="2" t="s">
        <v>53</v>
      </c>
      <c r="B15" s="2" t="s">
        <v>59</v>
      </c>
      <c r="C15" s="4" t="n">
        <v>0.02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</v>
      </c>
      <c r="V15" s="6" t="n">
        <f aca="false">IF(D15&gt;0,G15/D15,"")</f>
        <v>0</v>
      </c>
      <c r="W15" s="4" t="n">
        <f aca="false">IF(D15&gt;0,C15/D15*1000,"")</f>
        <v>20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</v>
      </c>
      <c r="AC15" s="7" t="n">
        <f aca="false">IF(D15&gt;0,O15/D15,"")</f>
        <v>0</v>
      </c>
      <c r="AD15" s="7" t="str">
        <f aca="false">IF(O15&gt;0,S15/O15,"")</f>
        <v/>
      </c>
    </row>
    <row r="16" customFormat="false" ht="15" hidden="false" customHeight="false" outlineLevel="0" collapsed="false">
      <c r="A16" s="2" t="s">
        <v>54</v>
      </c>
      <c r="B16" s="2" t="s">
        <v>59</v>
      </c>
      <c r="C16" s="4" t="n">
        <v>0.01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f aca="false">IF(E16&gt;0,D16/E16,"")</f>
        <v>1</v>
      </c>
      <c r="V16" s="6" t="n">
        <f aca="false">IF(D16&gt;0,G16/D16,"")</f>
        <v>0</v>
      </c>
      <c r="W16" s="4" t="n">
        <f aca="false">IF(D16&gt;0,C16/D16*1000,"")</f>
        <v>10</v>
      </c>
      <c r="X16" s="4" t="str">
        <f aca="false">IF(G16&gt;0,C16/G16,"")</f>
        <v/>
      </c>
      <c r="Y16" s="4" t="str">
        <f aca="false">IF(I16&gt;0,C16/I16,"")</f>
        <v/>
      </c>
      <c r="Z16" s="7" t="str">
        <f aca="false">IF(G16&gt;0,H16/G16,"")</f>
        <v/>
      </c>
      <c r="AA16" s="7" t="str">
        <f aca="false">IF(H16&gt;0,I16/H16,"")</f>
        <v/>
      </c>
      <c r="AB16" s="6" t="n">
        <f aca="false">IF(D16&gt;0,J16/D16,"")</f>
        <v>0</v>
      </c>
      <c r="AC16" s="7" t="n">
        <f aca="false">IF(D16&gt;0,O16/D16,"")</f>
        <v>0</v>
      </c>
      <c r="AD16" s="7" t="str">
        <f aca="false">IF(O16&gt;0,S16/O16,"")</f>
        <v/>
      </c>
    </row>
    <row r="17" customFormat="false" ht="15" hidden="false" customHeight="false" outlineLevel="0" collapsed="false">
      <c r="A17" s="11" t="s">
        <v>43</v>
      </c>
      <c r="B17" s="11"/>
      <c r="C17" s="12" t="n">
        <f aca="false">SUM(C2:C16)</f>
        <v>177.45</v>
      </c>
      <c r="D17" s="13" t="n">
        <f aca="false">SUM(D2:D16)</f>
        <v>1556</v>
      </c>
      <c r="E17" s="13"/>
      <c r="F17" s="13" t="n">
        <f aca="false">SUM(F2:F16)</f>
        <v>37</v>
      </c>
      <c r="G17" s="13" t="n">
        <f aca="false">SUM(G2:G16)</f>
        <v>25</v>
      </c>
      <c r="H17" s="13" t="n">
        <f aca="false">SUM(H2:H16)</f>
        <v>16</v>
      </c>
      <c r="I17" s="13" t="n">
        <f aca="false">SUM(I2:I16)</f>
        <v>1</v>
      </c>
      <c r="J17" s="13" t="n">
        <f aca="false">SUM(J2:J16)</f>
        <v>34</v>
      </c>
      <c r="K17" s="13" t="n">
        <f aca="false">SUM(K2:K16)</f>
        <v>7</v>
      </c>
      <c r="L17" s="13" t="n">
        <f aca="false">SUM(L2:L16)</f>
        <v>1</v>
      </c>
      <c r="M17" s="13" t="n">
        <f aca="false">SUM(M2:M16)</f>
        <v>1</v>
      </c>
      <c r="N17" s="13" t="n">
        <f aca="false">SUM(N2:N16)</f>
        <v>0</v>
      </c>
      <c r="O17" s="13" t="n">
        <f aca="false">SUM(O2:O16)</f>
        <v>0</v>
      </c>
      <c r="P17" s="13" t="n">
        <f aca="false">SUM(P2:P16)</f>
        <v>0</v>
      </c>
      <c r="Q17" s="13" t="n">
        <f aca="false">SUM(Q2:Q16)</f>
        <v>0</v>
      </c>
      <c r="R17" s="13" t="n">
        <f aca="false">SUM(R2:R16)</f>
        <v>0</v>
      </c>
      <c r="S17" s="13" t="n">
        <f aca="false">SUM(S2:S16)</f>
        <v>0</v>
      </c>
      <c r="T17" s="13" t="n">
        <f aca="false">SUM(T2:T16)</f>
        <v>0</v>
      </c>
      <c r="U17" s="14" t="str">
        <f aca="false">IF(E17&gt;0,D17/E17,"")</f>
        <v/>
      </c>
      <c r="V17" s="15" t="n">
        <f aca="false">IF(D17&gt;0,G17/D17,"")</f>
        <v>0.0160668380462725</v>
      </c>
      <c r="W17" s="12" t="n">
        <f aca="false">IF(D17&gt;0,C17/D17*1000,"")</f>
        <v>114.042416452442</v>
      </c>
      <c r="X17" s="12" t="n">
        <f aca="false">IF(G17&gt;0,C17/G17,"")</f>
        <v>7.098</v>
      </c>
      <c r="Y17" s="12" t="n">
        <f aca="false">IF(I17&gt;0,C17/I17,"")</f>
        <v>177.45</v>
      </c>
      <c r="Z17" s="16" t="n">
        <f aca="false">IF(G17&gt;0,H17/G17,"")</f>
        <v>0.64</v>
      </c>
      <c r="AA17" s="16" t="n">
        <f aca="false">IF(H17&gt;0,I17/H17,"")</f>
        <v>0.0625</v>
      </c>
      <c r="AB17" s="15" t="n">
        <f aca="false">IF(D17&gt;0,J17/D17,"")</f>
        <v>0.0218508997429306</v>
      </c>
      <c r="AC17" s="16" t="n">
        <f aca="false">IF(D17&gt;0,O17/D17,"")</f>
        <v>0</v>
      </c>
      <c r="AD17" s="16" t="str">
        <f aca="false">IF(O17&gt;0,S17/O17,"")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60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61</v>
      </c>
      <c r="B2" s="4" t="n">
        <v>131.55</v>
      </c>
      <c r="C2" s="5" t="n">
        <v>1100</v>
      </c>
      <c r="D2" s="5" t="n">
        <v>685</v>
      </c>
      <c r="E2" s="5" t="n">
        <v>28</v>
      </c>
      <c r="F2" s="5" t="n">
        <v>17</v>
      </c>
      <c r="G2" s="5" t="n">
        <v>0</v>
      </c>
      <c r="H2" s="5" t="n">
        <v>0</v>
      </c>
      <c r="I2" s="5" t="n">
        <v>23</v>
      </c>
      <c r="J2" s="5" t="n">
        <v>5</v>
      </c>
      <c r="K2" s="5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1.60583941605839</v>
      </c>
      <c r="U2" s="6" t="n">
        <f aca="false">IF(C2&gt;0,F2/C2,"")</f>
        <v>0.0154545454545455</v>
      </c>
      <c r="V2" s="4" t="n">
        <f aca="false">IF(C2&gt;0,B2/C2*1000,"")</f>
        <v>119.590909090909</v>
      </c>
      <c r="W2" s="4" t="n">
        <f aca="false">IF(F2&gt;0,B2/F2,"")</f>
        <v>7.73823529411765</v>
      </c>
      <c r="X2" s="4" t="str">
        <f aca="false">IF(H2&gt;0,B2/H2,"")</f>
        <v/>
      </c>
      <c r="Y2" s="7" t="n">
        <f aca="false">IF(F2&gt;0,G2/F2,"")</f>
        <v>0</v>
      </c>
      <c r="Z2" s="7" t="str">
        <f aca="false">IF(G2&gt;0,H2/G2,"")</f>
        <v/>
      </c>
      <c r="AA2" s="6" t="n">
        <f aca="false">IF(C2&gt;0,I2/C2,"")</f>
        <v>0.0209090909090909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62</v>
      </c>
      <c r="B3" s="4" t="n">
        <v>26.59</v>
      </c>
      <c r="C3" s="5" t="n">
        <v>225</v>
      </c>
      <c r="D3" s="5" t="n">
        <v>151</v>
      </c>
      <c r="E3" s="5" t="n">
        <v>5</v>
      </c>
      <c r="F3" s="5" t="n">
        <v>4</v>
      </c>
      <c r="G3" s="5" t="n">
        <v>0</v>
      </c>
      <c r="H3" s="5" t="n">
        <v>0</v>
      </c>
      <c r="I3" s="5" t="n">
        <v>5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1.49006622516556</v>
      </c>
      <c r="U3" s="6" t="n">
        <f aca="false">IF(C3&gt;0,F3/C3,"")</f>
        <v>0.0177777777777778</v>
      </c>
      <c r="V3" s="4" t="n">
        <f aca="false">IF(C3&gt;0,B3/C3*1000,"")</f>
        <v>118.177777777778</v>
      </c>
      <c r="W3" s="4" t="n">
        <f aca="false">IF(F3&gt;0,B3/F3,"")</f>
        <v>6.6475</v>
      </c>
      <c r="X3" s="4" t="str">
        <f aca="false">IF(H3&gt;0,B3/H3,"")</f>
        <v/>
      </c>
      <c r="Y3" s="7" t="n">
        <f aca="false">IF(F3&gt;0,G3/F3,"")</f>
        <v>0</v>
      </c>
      <c r="Z3" s="7" t="str">
        <f aca="false">IF(G3&gt;0,H3/G3,"")</f>
        <v/>
      </c>
      <c r="AA3" s="6" t="n">
        <f aca="false">IF(C3&gt;0,I3/C3,"")</f>
        <v>0.0222222222222222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63</v>
      </c>
      <c r="B4" s="4" t="n">
        <v>19.19</v>
      </c>
      <c r="C4" s="5" t="n">
        <v>230</v>
      </c>
      <c r="D4" s="5" t="n">
        <v>105</v>
      </c>
      <c r="E4" s="5" t="n">
        <v>4</v>
      </c>
      <c r="F4" s="5" t="n">
        <v>4</v>
      </c>
      <c r="G4" s="5" t="n">
        <v>0</v>
      </c>
      <c r="H4" s="5" t="n">
        <v>0</v>
      </c>
      <c r="I4" s="5" t="n">
        <v>6</v>
      </c>
      <c r="J4" s="5" t="n">
        <v>1</v>
      </c>
      <c r="K4" s="5" t="n">
        <v>0</v>
      </c>
      <c r="L4" s="5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2.19047619047619</v>
      </c>
      <c r="U4" s="6" t="n">
        <f aca="false">IF(C4&gt;0,F4/C4,"")</f>
        <v>0.0173913043478261</v>
      </c>
      <c r="V4" s="4" t="n">
        <f aca="false">IF(C4&gt;0,B4/C4*1000,"")</f>
        <v>83.4347826086957</v>
      </c>
      <c r="W4" s="4" t="n">
        <f aca="false">IF(F4&gt;0,B4/F4,"")</f>
        <v>4.7975</v>
      </c>
      <c r="X4" s="4" t="str">
        <f aca="false">IF(H4&gt;0,B4/H4,"")</f>
        <v/>
      </c>
      <c r="Y4" s="7" t="n">
        <f aca="false">IF(F4&gt;0,G4/F4,"")</f>
        <v>0</v>
      </c>
      <c r="Z4" s="7" t="str">
        <f aca="false">IF(G4&gt;0,H4/G4,"")</f>
        <v/>
      </c>
      <c r="AA4" s="6" t="n">
        <f aca="false">IF(C4&gt;0,I4/C4,"")</f>
        <v>0.0260869565217391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64</v>
      </c>
      <c r="B5" s="4" t="n">
        <v>0.12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</v>
      </c>
      <c r="U5" s="6" t="n">
        <f aca="false">IF(C5&gt;0,F5/C5,"")</f>
        <v>0</v>
      </c>
      <c r="V5" s="4" t="n">
        <f aca="false">IF(C5&gt;0,B5/C5*1000,"")</f>
        <v>120</v>
      </c>
      <c r="W5" s="4" t="str">
        <f aca="false">IF(F5&gt;0,B5/F5,"")</f>
        <v/>
      </c>
      <c r="X5" s="4" t="str">
        <f aca="false">IF(H5&gt;0,B5/H5,"")</f>
        <v/>
      </c>
      <c r="Y5" s="7" t="str">
        <f aca="false">IF(F5&gt;0,G5/F5,"")</f>
        <v/>
      </c>
      <c r="Z5" s="7" t="str">
        <f aca="false">IF(G5&gt;0,H5/G5,"")</f>
        <v/>
      </c>
      <c r="AA5" s="6" t="n">
        <f aca="false">IF(C5&gt;0,I5/C5,"")</f>
        <v>0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11" t="s">
        <v>43</v>
      </c>
      <c r="B6" s="12" t="n">
        <f aca="false">SUM(B2:B5)</f>
        <v>177.45</v>
      </c>
      <c r="C6" s="13" t="n">
        <f aca="false">SUM(C2:C5)</f>
        <v>1556</v>
      </c>
      <c r="D6" s="13"/>
      <c r="E6" s="13" t="n">
        <f aca="false">SUM(E2:E5)</f>
        <v>37</v>
      </c>
      <c r="F6" s="13" t="n">
        <f aca="false">SUM(F2:F5)</f>
        <v>25</v>
      </c>
      <c r="G6" s="13" t="n">
        <f aca="false">SUM(G2:G5)</f>
        <v>0</v>
      </c>
      <c r="H6" s="13" t="n">
        <f aca="false">SUM(H2:H5)</f>
        <v>0</v>
      </c>
      <c r="I6" s="13" t="n">
        <f aca="false">SUM(I2:I5)</f>
        <v>34</v>
      </c>
      <c r="J6" s="13" t="n">
        <f aca="false">SUM(J2:J5)</f>
        <v>7</v>
      </c>
      <c r="K6" s="13" t="n">
        <f aca="false">SUM(K2:K5)</f>
        <v>1</v>
      </c>
      <c r="L6" s="13" t="n">
        <f aca="false">SUM(L2:L5)</f>
        <v>1</v>
      </c>
      <c r="M6" s="13" t="n">
        <f aca="false">SUM(M2:M5)</f>
        <v>0</v>
      </c>
      <c r="N6" s="13" t="n">
        <f aca="false">SUM(N2:N5)</f>
        <v>0</v>
      </c>
      <c r="O6" s="13" t="n">
        <f aca="false">SUM(O2:O5)</f>
        <v>0</v>
      </c>
      <c r="P6" s="13" t="n">
        <f aca="false">SUM(P2:P5)</f>
        <v>0</v>
      </c>
      <c r="Q6" s="13" t="n">
        <f aca="false">SUM(Q2:Q5)</f>
        <v>0</v>
      </c>
      <c r="R6" s="13" t="n">
        <f aca="false">SUM(R2:R5)</f>
        <v>0</v>
      </c>
      <c r="S6" s="13" t="n">
        <f aca="false">SUM(S2:S5)</f>
        <v>0</v>
      </c>
      <c r="T6" s="14" t="str">
        <f aca="false">IF(D6&gt;0,C6/D6,"")</f>
        <v/>
      </c>
      <c r="U6" s="15" t="n">
        <f aca="false">IF(C6&gt;0,F6/C6,"")</f>
        <v>0.0160668380462725</v>
      </c>
      <c r="V6" s="12" t="n">
        <f aca="false">IF(C6&gt;0,B6/C6*1000,"")</f>
        <v>114.042416452442</v>
      </c>
      <c r="W6" s="12" t="n">
        <f aca="false">IF(F6&gt;0,B6/F6,"")</f>
        <v>7.098</v>
      </c>
      <c r="X6" s="12" t="str">
        <f aca="false">IF(H6&gt;0,B6/H6,"")</f>
        <v/>
      </c>
      <c r="Y6" s="16" t="n">
        <f aca="false">IF(F6&gt;0,G6/F6,"")</f>
        <v>0</v>
      </c>
      <c r="Z6" s="16" t="str">
        <f aca="false">IF(G6&gt;0,H6/G6,"")</f>
        <v/>
      </c>
      <c r="AA6" s="15" t="n">
        <f aca="false">IF(C6&gt;0,I6/C6,"")</f>
        <v>0.0218508997429306</v>
      </c>
      <c r="AB6" s="16" t="n">
        <f aca="false">IF(C6&gt;0,N6/C6,"")</f>
        <v>0</v>
      </c>
      <c r="AC6" s="16" t="str">
        <f aca="false">IF(N6&gt;0,R6/N6,"")</f>
        <v/>
      </c>
    </row>
    <row r="8" customFormat="false" ht="15" hidden="false" customHeight="false" outlineLevel="0" collapsed="false">
      <c r="A8" s="1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66</v>
      </c>
      <c r="B1" s="10" t="s">
        <v>67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68</v>
      </c>
      <c r="B2" s="2" t="s">
        <v>69</v>
      </c>
      <c r="C2" s="4" t="n">
        <v>42.84</v>
      </c>
      <c r="D2" s="5" t="n">
        <v>413</v>
      </c>
      <c r="E2" s="5" t="n">
        <v>284</v>
      </c>
      <c r="F2" s="5" t="n">
        <v>7</v>
      </c>
      <c r="G2" s="5" t="n">
        <v>4</v>
      </c>
      <c r="H2" s="5" t="n">
        <v>2</v>
      </c>
      <c r="I2" s="5" t="n">
        <v>1</v>
      </c>
      <c r="J2" s="5" t="n">
        <v>6</v>
      </c>
      <c r="K2" s="5" t="n">
        <v>1</v>
      </c>
      <c r="L2" s="5" t="n">
        <v>0</v>
      </c>
      <c r="M2" s="5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f aca="false">IF(E2&gt;0,D2/E2,"")</f>
        <v>1.45422535211268</v>
      </c>
      <c r="V2" s="6" t="n">
        <f aca="false">IF(D2&gt;0,G2/D2,"")</f>
        <v>0.00968523002421308</v>
      </c>
      <c r="W2" s="4" t="n">
        <f aca="false">IF(D2&gt;0,C2/D2*1000,"")</f>
        <v>103.728813559322</v>
      </c>
      <c r="X2" s="4" t="n">
        <f aca="false">IF(G2&gt;0,C2/G2,"")</f>
        <v>10.71</v>
      </c>
      <c r="Y2" s="4" t="n">
        <f aca="false">IF(I2&gt;0,C2/I2,"")</f>
        <v>42.84</v>
      </c>
      <c r="Z2" s="7" t="n">
        <f aca="false">IF(G2&gt;0,H2/G2,"")</f>
        <v>0.5</v>
      </c>
      <c r="AA2" s="7" t="n">
        <f aca="false">IF(H2&gt;0,I2/H2,"")</f>
        <v>0.5</v>
      </c>
      <c r="AB2" s="6" t="n">
        <f aca="false">IF(D2&gt;0,J2/D2,"")</f>
        <v>0.0145278450363196</v>
      </c>
      <c r="AC2" s="7" t="n">
        <f aca="false">IF(D2&gt;0,O2/D2,"")</f>
        <v>0</v>
      </c>
      <c r="AD2" s="7" t="str">
        <f aca="false">IF(O2&gt;0,S2/O2,"")</f>
        <v/>
      </c>
    </row>
    <row r="3" customFormat="false" ht="15" hidden="false" customHeight="false" outlineLevel="0" collapsed="false">
      <c r="A3" s="2" t="s">
        <v>70</v>
      </c>
      <c r="B3" s="2" t="s">
        <v>69</v>
      </c>
      <c r="C3" s="4" t="n">
        <v>40.08</v>
      </c>
      <c r="D3" s="5" t="n">
        <v>330</v>
      </c>
      <c r="E3" s="5" t="n">
        <v>192</v>
      </c>
      <c r="F3" s="5" t="n">
        <v>10</v>
      </c>
      <c r="G3" s="5" t="n">
        <v>3</v>
      </c>
      <c r="H3" s="5" t="n">
        <v>1</v>
      </c>
      <c r="I3" s="5" t="n">
        <v>0</v>
      </c>
      <c r="J3" s="5" t="n">
        <v>8</v>
      </c>
      <c r="K3" s="5" t="n">
        <v>4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f aca="false">IF(E3&gt;0,D3/E3,"")</f>
        <v>1.71875</v>
      </c>
      <c r="V3" s="6" t="n">
        <f aca="false">IF(D3&gt;0,G3/D3,"")</f>
        <v>0.00909090909090909</v>
      </c>
      <c r="W3" s="4" t="n">
        <f aca="false">IF(D3&gt;0,C3/D3*1000,"")</f>
        <v>121.454545454545</v>
      </c>
      <c r="X3" s="4" t="n">
        <f aca="false">IF(G3&gt;0,C3/G3,"")</f>
        <v>13.36</v>
      </c>
      <c r="Y3" s="4" t="str">
        <f aca="false">IF(I3&gt;0,C3/I3,"")</f>
        <v/>
      </c>
      <c r="Z3" s="7" t="n">
        <f aca="false">IF(G3&gt;0,H3/G3,"")</f>
        <v>0.333333333333333</v>
      </c>
      <c r="AA3" s="7" t="n">
        <f aca="false">IF(H3&gt;0,I3/H3,"")</f>
        <v>0</v>
      </c>
      <c r="AB3" s="6" t="n">
        <f aca="false">IF(D3&gt;0,J3/D3,"")</f>
        <v>0.0242424242424242</v>
      </c>
      <c r="AC3" s="7" t="n">
        <f aca="false">IF(D3&gt;0,O3/D3,"")</f>
        <v>0</v>
      </c>
      <c r="AD3" s="7" t="str">
        <f aca="false">IF(O3&gt;0,S3/O3,"")</f>
        <v/>
      </c>
    </row>
    <row r="4" customFormat="false" ht="15" hidden="false" customHeight="false" outlineLevel="0" collapsed="false">
      <c r="A4" s="2" t="s">
        <v>70</v>
      </c>
      <c r="B4" s="2" t="s">
        <v>71</v>
      </c>
      <c r="C4" s="4" t="n">
        <v>37.77</v>
      </c>
      <c r="D4" s="5" t="n">
        <v>131</v>
      </c>
      <c r="E4" s="5" t="n">
        <v>90</v>
      </c>
      <c r="F4" s="5" t="n">
        <v>5</v>
      </c>
      <c r="G4" s="5" t="n">
        <v>4</v>
      </c>
      <c r="H4" s="5" t="n">
        <v>3</v>
      </c>
      <c r="I4" s="5" t="n">
        <v>0</v>
      </c>
      <c r="J4" s="5" t="n">
        <v>5</v>
      </c>
      <c r="K4" s="5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f aca="false">IF(E4&gt;0,D4/E4,"")</f>
        <v>1.45555555555556</v>
      </c>
      <c r="V4" s="6" t="n">
        <f aca="false">IF(D4&gt;0,G4/D4,"")</f>
        <v>0.0305343511450382</v>
      </c>
      <c r="W4" s="4" t="n">
        <f aca="false">IF(D4&gt;0,C4/D4*1000,"")</f>
        <v>288.320610687023</v>
      </c>
      <c r="X4" s="4" t="n">
        <f aca="false">IF(G4&gt;0,C4/G4,"")</f>
        <v>9.4425</v>
      </c>
      <c r="Y4" s="4" t="str">
        <f aca="false">IF(I4&gt;0,C4/I4,"")</f>
        <v/>
      </c>
      <c r="Z4" s="7" t="n">
        <f aca="false">IF(G4&gt;0,H4/G4,"")</f>
        <v>0.75</v>
      </c>
      <c r="AA4" s="7" t="n">
        <f aca="false">IF(H4&gt;0,I4/H4,"")</f>
        <v>0</v>
      </c>
      <c r="AB4" s="6" t="n">
        <f aca="false">IF(D4&gt;0,J4/D4,"")</f>
        <v>0.0381679389312977</v>
      </c>
      <c r="AC4" s="7" t="n">
        <f aca="false">IF(D4&gt;0,O4/D4,"")</f>
        <v>0</v>
      </c>
      <c r="AD4" s="7" t="str">
        <f aca="false">IF(O4&gt;0,S4/O4,"")</f>
        <v/>
      </c>
    </row>
    <row r="5" customFormat="false" ht="15" hidden="false" customHeight="false" outlineLevel="0" collapsed="false">
      <c r="A5" s="2" t="s">
        <v>68</v>
      </c>
      <c r="B5" s="2" t="s">
        <v>72</v>
      </c>
      <c r="C5" s="4" t="n">
        <v>24.37</v>
      </c>
      <c r="D5" s="5" t="n">
        <v>163</v>
      </c>
      <c r="E5" s="5" t="n">
        <v>136</v>
      </c>
      <c r="F5" s="5" t="n">
        <v>3</v>
      </c>
      <c r="G5" s="5" t="n">
        <v>3</v>
      </c>
      <c r="H5" s="5" t="n">
        <v>1</v>
      </c>
      <c r="I5" s="5" t="n">
        <v>0</v>
      </c>
      <c r="J5" s="5" t="n">
        <v>4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f aca="false">IF(E5&gt;0,D5/E5,"")</f>
        <v>1.19852941176471</v>
      </c>
      <c r="V5" s="6" t="n">
        <f aca="false">IF(D5&gt;0,G5/D5,"")</f>
        <v>0.0184049079754601</v>
      </c>
      <c r="W5" s="4" t="n">
        <f aca="false">IF(D5&gt;0,C5/D5*1000,"")</f>
        <v>149.509202453988</v>
      </c>
      <c r="X5" s="4" t="n">
        <f aca="false">IF(G5&gt;0,C5/G5,"")</f>
        <v>8.12333333333333</v>
      </c>
      <c r="Y5" s="4" t="str">
        <f aca="false">IF(I5&gt;0,C5/I5,"")</f>
        <v/>
      </c>
      <c r="Z5" s="7" t="n">
        <f aca="false">IF(G5&gt;0,H5/G5,"")</f>
        <v>0.333333333333333</v>
      </c>
      <c r="AA5" s="7" t="n">
        <f aca="false">IF(H5&gt;0,I5/H5,"")</f>
        <v>0</v>
      </c>
      <c r="AB5" s="6" t="n">
        <f aca="false">IF(D5&gt;0,J5/D5,"")</f>
        <v>0.0245398773006135</v>
      </c>
      <c r="AC5" s="7" t="n">
        <f aca="false">IF(D5&gt;0,O5/D5,"")</f>
        <v>0</v>
      </c>
      <c r="AD5" s="7" t="str">
        <f aca="false">IF(O5&gt;0,S5/O5,"")</f>
        <v/>
      </c>
    </row>
    <row r="6" customFormat="false" ht="15" hidden="false" customHeight="false" outlineLevel="0" collapsed="false">
      <c r="A6" s="2" t="s">
        <v>70</v>
      </c>
      <c r="B6" s="2" t="s">
        <v>73</v>
      </c>
      <c r="C6" s="4" t="n">
        <v>13.13</v>
      </c>
      <c r="D6" s="5" t="n">
        <v>290</v>
      </c>
      <c r="E6" s="5" t="n">
        <v>208</v>
      </c>
      <c r="F6" s="5" t="n">
        <v>7</v>
      </c>
      <c r="G6" s="5" t="n">
        <v>7</v>
      </c>
      <c r="H6" s="5" t="n">
        <v>6</v>
      </c>
      <c r="I6" s="5" t="n">
        <v>0</v>
      </c>
      <c r="J6" s="5" t="n">
        <v>7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f aca="false">IF(E6&gt;0,D6/E6,"")</f>
        <v>1.39423076923077</v>
      </c>
      <c r="V6" s="6" t="n">
        <f aca="false">IF(D6&gt;0,G6/D6,"")</f>
        <v>0.0241379310344828</v>
      </c>
      <c r="W6" s="4" t="n">
        <f aca="false">IF(D6&gt;0,C6/D6*1000,"")</f>
        <v>45.2758620689655</v>
      </c>
      <c r="X6" s="4" t="n">
        <f aca="false">IF(G6&gt;0,C6/G6,"")</f>
        <v>1.87571428571429</v>
      </c>
      <c r="Y6" s="4" t="str">
        <f aca="false">IF(I6&gt;0,C6/I6,"")</f>
        <v/>
      </c>
      <c r="Z6" s="7" t="n">
        <f aca="false">IF(G6&gt;0,H6/G6,"")</f>
        <v>0.857142857142857</v>
      </c>
      <c r="AA6" s="7" t="n">
        <f aca="false">IF(H6&gt;0,I6/H6,"")</f>
        <v>0</v>
      </c>
      <c r="AB6" s="6" t="n">
        <f aca="false">IF(D6&gt;0,J6/D6,"")</f>
        <v>0.0241379310344828</v>
      </c>
      <c r="AC6" s="7" t="n">
        <f aca="false">IF(D6&gt;0,O6/D6,"")</f>
        <v>0</v>
      </c>
      <c r="AD6" s="7" t="str">
        <f aca="false">IF(O6&gt;0,S6/O6,"")</f>
        <v/>
      </c>
    </row>
    <row r="7" customFormat="false" ht="15" hidden="false" customHeight="false" outlineLevel="0" collapsed="false">
      <c r="A7" s="2" t="s">
        <v>68</v>
      </c>
      <c r="B7" s="2" t="s">
        <v>74</v>
      </c>
      <c r="C7" s="4" t="n">
        <v>12.62</v>
      </c>
      <c r="D7" s="5" t="n">
        <v>75</v>
      </c>
      <c r="E7" s="5" t="n">
        <v>61</v>
      </c>
      <c r="F7" s="5" t="n">
        <v>2</v>
      </c>
      <c r="G7" s="5" t="n">
        <v>1</v>
      </c>
      <c r="H7" s="5" t="n">
        <v>1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f aca="false">IF(E7&gt;0,D7/E7,"")</f>
        <v>1.22950819672131</v>
      </c>
      <c r="V7" s="6" t="n">
        <f aca="false">IF(D7&gt;0,G7/D7,"")</f>
        <v>0.0133333333333333</v>
      </c>
      <c r="W7" s="4" t="n">
        <f aca="false">IF(D7&gt;0,C7/D7*1000,"")</f>
        <v>168.266666666667</v>
      </c>
      <c r="X7" s="4" t="n">
        <f aca="false">IF(G7&gt;0,C7/G7,"")</f>
        <v>12.62</v>
      </c>
      <c r="Y7" s="4" t="str">
        <f aca="false">IF(I7&gt;0,C7/I7,"")</f>
        <v/>
      </c>
      <c r="Z7" s="7" t="n">
        <f aca="false">IF(G7&gt;0,H7/G7,"")</f>
        <v>1</v>
      </c>
      <c r="AA7" s="7" t="n">
        <f aca="false">IF(H7&gt;0,I7/H7,"")</f>
        <v>0</v>
      </c>
      <c r="AB7" s="6" t="n">
        <f aca="false">IF(D7&gt;0,J7/D7,"")</f>
        <v>0.0133333333333333</v>
      </c>
      <c r="AC7" s="7" t="n">
        <f aca="false">IF(D7&gt;0,O7/D7,"")</f>
        <v>0</v>
      </c>
      <c r="AD7" s="7" t="str">
        <f aca="false">IF(O7&gt;0,S7/O7,"")</f>
        <v/>
      </c>
    </row>
    <row r="8" customFormat="false" ht="15" hidden="false" customHeight="false" outlineLevel="0" collapsed="false">
      <c r="A8" s="2" t="s">
        <v>70</v>
      </c>
      <c r="B8" s="2" t="s">
        <v>75</v>
      </c>
      <c r="C8" s="4" t="n">
        <v>2.42</v>
      </c>
      <c r="D8" s="5" t="n">
        <v>7</v>
      </c>
      <c r="E8" s="5" t="n">
        <v>7</v>
      </c>
      <c r="F8" s="5" t="n">
        <v>1</v>
      </c>
      <c r="G8" s="5" t="n">
        <v>1</v>
      </c>
      <c r="H8" s="5" t="n">
        <v>1</v>
      </c>
      <c r="I8" s="5" t="n">
        <v>0</v>
      </c>
      <c r="J8" s="5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f aca="false">IF(E8&gt;0,D8/E8,"")</f>
        <v>1</v>
      </c>
      <c r="V8" s="6" t="n">
        <f aca="false">IF(D8&gt;0,G8/D8,"")</f>
        <v>0.142857142857143</v>
      </c>
      <c r="W8" s="4" t="n">
        <f aca="false">IF(D8&gt;0,C8/D8*1000,"")</f>
        <v>345.714285714286</v>
      </c>
      <c r="X8" s="4" t="n">
        <f aca="false">IF(G8&gt;0,C8/G8,"")</f>
        <v>2.42</v>
      </c>
      <c r="Y8" s="4" t="str">
        <f aca="false">IF(I8&gt;0,C8/I8,"")</f>
        <v/>
      </c>
      <c r="Z8" s="7" t="n">
        <f aca="false">IF(G8&gt;0,H8/G8,"")</f>
        <v>1</v>
      </c>
      <c r="AA8" s="7" t="n">
        <f aca="false">IF(H8&gt;0,I8/H8,"")</f>
        <v>0</v>
      </c>
      <c r="AB8" s="6" t="n">
        <f aca="false">IF(D8&gt;0,J8/D8,"")</f>
        <v>0.142857142857143</v>
      </c>
      <c r="AC8" s="7" t="n">
        <f aca="false">IF(D8&gt;0,O8/D8,"")</f>
        <v>0</v>
      </c>
      <c r="AD8" s="7" t="str">
        <f aca="false">IF(O8&gt;0,S8/O8,"")</f>
        <v/>
      </c>
    </row>
    <row r="9" customFormat="false" ht="15" hidden="false" customHeight="false" outlineLevel="0" collapsed="false">
      <c r="A9" s="2" t="s">
        <v>70</v>
      </c>
      <c r="B9" s="2" t="s">
        <v>76</v>
      </c>
      <c r="C9" s="4" t="n">
        <v>1.89</v>
      </c>
      <c r="D9" s="5" t="n">
        <v>33</v>
      </c>
      <c r="E9" s="5" t="n">
        <v>10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f aca="false">IF(E9&gt;0,D9/E9,"")</f>
        <v>3.3</v>
      </c>
      <c r="V9" s="6" t="n">
        <f aca="false">IF(D9&gt;0,G9/D9,"")</f>
        <v>0</v>
      </c>
      <c r="W9" s="4" t="n">
        <f aca="false">IF(D9&gt;0,C9/D9*1000,"")</f>
        <v>57.2727272727273</v>
      </c>
      <c r="X9" s="4" t="str">
        <f aca="false">IF(G9&gt;0,C9/G9,"")</f>
        <v/>
      </c>
      <c r="Y9" s="4" t="str">
        <f aca="false">IF(I9&gt;0,C9/I9,"")</f>
        <v/>
      </c>
      <c r="Z9" s="7" t="str">
        <f aca="false">IF(G9&gt;0,H9/G9,"")</f>
        <v/>
      </c>
      <c r="AA9" s="7" t="str">
        <f aca="false">IF(H9&gt;0,I9/H9,"")</f>
        <v/>
      </c>
      <c r="AB9" s="6" t="n">
        <f aca="false">IF(D9&gt;0,J9/D9,"")</f>
        <v>0</v>
      </c>
      <c r="AC9" s="7" t="n">
        <f aca="false">IF(D9&gt;0,O9/D9,"")</f>
        <v>0</v>
      </c>
      <c r="AD9" s="7" t="str">
        <f aca="false">IF(O9&gt;0,S9/O9,"")</f>
        <v/>
      </c>
    </row>
    <row r="10" customFormat="false" ht="15" hidden="false" customHeight="false" outlineLevel="0" collapsed="false">
      <c r="A10" s="2" t="s">
        <v>70</v>
      </c>
      <c r="B10" s="2" t="s">
        <v>77</v>
      </c>
      <c r="C10" s="4" t="n">
        <v>0.99</v>
      </c>
      <c r="D10" s="5" t="n">
        <v>90</v>
      </c>
      <c r="E10" s="5" t="n">
        <v>53</v>
      </c>
      <c r="F10" s="5" t="n">
        <v>1</v>
      </c>
      <c r="G10" s="5" t="n">
        <v>1</v>
      </c>
      <c r="H10" s="5" t="n">
        <v>1</v>
      </c>
      <c r="I10" s="5" t="n">
        <v>0</v>
      </c>
      <c r="J10" s="5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f aca="false">IF(E10&gt;0,D10/E10,"")</f>
        <v>1.69811320754717</v>
      </c>
      <c r="V10" s="6" t="n">
        <f aca="false">IF(D10&gt;0,G10/D10,"")</f>
        <v>0.0111111111111111</v>
      </c>
      <c r="W10" s="4" t="n">
        <f aca="false">IF(D10&gt;0,C10/D10*1000,"")</f>
        <v>11</v>
      </c>
      <c r="X10" s="4" t="n">
        <f aca="false">IF(G10&gt;0,C10/G10,"")</f>
        <v>0.99</v>
      </c>
      <c r="Y10" s="4" t="str">
        <f aca="false">IF(I10&gt;0,C10/I10,"")</f>
        <v/>
      </c>
      <c r="Z10" s="7" t="n">
        <f aca="false">IF(G10&gt;0,H10/G10,"")</f>
        <v>1</v>
      </c>
      <c r="AA10" s="7" t="n">
        <f aca="false">IF(H10&gt;0,I10/H10,"")</f>
        <v>0</v>
      </c>
      <c r="AB10" s="6" t="n">
        <f aca="false">IF(D10&gt;0,J10/D10,"")</f>
        <v>0.0111111111111111</v>
      </c>
      <c r="AC10" s="7" t="n">
        <f aca="false">IF(D10&gt;0,O10/D10,"")</f>
        <v>0</v>
      </c>
      <c r="AD10" s="7" t="str">
        <f aca="false">IF(O10&gt;0,S10/O10,"")</f>
        <v/>
      </c>
    </row>
    <row r="11" customFormat="false" ht="15" hidden="false" customHeight="false" outlineLevel="0" collapsed="false">
      <c r="A11" s="2" t="s">
        <v>70</v>
      </c>
      <c r="B11" s="2" t="s">
        <v>78</v>
      </c>
      <c r="C11" s="4" t="n">
        <v>0.71</v>
      </c>
      <c r="D11" s="5" t="n">
        <v>12</v>
      </c>
      <c r="E11" s="5" t="n">
        <v>11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f aca="false">IF(E11&gt;0,D11/E11,"")</f>
        <v>1.09090909090909</v>
      </c>
      <c r="V11" s="6" t="n">
        <f aca="false">IF(D11&gt;0,G11/D11,"")</f>
        <v>0</v>
      </c>
      <c r="W11" s="4" t="n">
        <f aca="false">IF(D11&gt;0,C11/D11*1000,"")</f>
        <v>59.1666666666667</v>
      </c>
      <c r="X11" s="4" t="str">
        <f aca="false">IF(G11&gt;0,C11/G11,"")</f>
        <v/>
      </c>
      <c r="Y11" s="4" t="str">
        <f aca="false">IF(I11&gt;0,C11/I11,"")</f>
        <v/>
      </c>
      <c r="Z11" s="7" t="str">
        <f aca="false">IF(G11&gt;0,H11/G11,"")</f>
        <v/>
      </c>
      <c r="AA11" s="7" t="str">
        <f aca="false">IF(H11&gt;0,I11/H11,"")</f>
        <v/>
      </c>
      <c r="AB11" s="6" t="n">
        <f aca="false">IF(D11&gt;0,J11/D11,"")</f>
        <v>0</v>
      </c>
      <c r="AC11" s="7" t="n">
        <f aca="false">IF(D11&gt;0,O11/D11,"")</f>
        <v>0</v>
      </c>
      <c r="AD11" s="7" t="str">
        <f aca="false">IF(O11&gt;0,S11/O11,"")</f>
        <v/>
      </c>
    </row>
    <row r="12" customFormat="false" ht="15" hidden="false" customHeight="false" outlineLevel="0" collapsed="false">
      <c r="A12" s="2" t="s">
        <v>79</v>
      </c>
      <c r="B12" s="2" t="s">
        <v>79</v>
      </c>
      <c r="C12" s="4" t="n">
        <v>0.34</v>
      </c>
      <c r="D12" s="5" t="n">
        <v>2</v>
      </c>
      <c r="E12" s="5" t="n">
        <v>2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f aca="false">IF(E12&gt;0,D12/E12,"")</f>
        <v>1</v>
      </c>
      <c r="V12" s="6" t="n">
        <f aca="false">IF(D12&gt;0,G12/D12,"")</f>
        <v>0</v>
      </c>
      <c r="W12" s="4" t="n">
        <f aca="false">IF(D12&gt;0,C12/D12*1000,"")</f>
        <v>170</v>
      </c>
      <c r="X12" s="4" t="str">
        <f aca="false">IF(G12&gt;0,C12/G12,"")</f>
        <v/>
      </c>
      <c r="Y12" s="4" t="str">
        <f aca="false">IF(I12&gt;0,C12/I12,"")</f>
        <v/>
      </c>
      <c r="Z12" s="7" t="str">
        <f aca="false">IF(G12&gt;0,H12/G12,"")</f>
        <v/>
      </c>
      <c r="AA12" s="7" t="str">
        <f aca="false">IF(H12&gt;0,I12/H12,"")</f>
        <v/>
      </c>
      <c r="AB12" s="6" t="n">
        <f aca="false">IF(D12&gt;0,J12/D12,"")</f>
        <v>0</v>
      </c>
      <c r="AC12" s="7" t="n">
        <f aca="false">IF(D12&gt;0,O12/D12,"")</f>
        <v>0</v>
      </c>
      <c r="AD12" s="7" t="str">
        <f aca="false">IF(O12&gt;0,S12/O12,"")</f>
        <v/>
      </c>
    </row>
    <row r="13" customFormat="false" ht="15" hidden="false" customHeight="false" outlineLevel="0" collapsed="false">
      <c r="A13" s="2" t="s">
        <v>70</v>
      </c>
      <c r="B13" s="2" t="s">
        <v>80</v>
      </c>
      <c r="C13" s="4" t="n">
        <v>0.19</v>
      </c>
      <c r="D13" s="5" t="n">
        <v>2</v>
      </c>
      <c r="E13" s="5" t="n">
        <v>2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f aca="false">IF(E13&gt;0,D13/E13,"")</f>
        <v>1</v>
      </c>
      <c r="V13" s="6" t="n">
        <f aca="false">IF(D13&gt;0,G13/D13,"")</f>
        <v>0.5</v>
      </c>
      <c r="W13" s="4" t="n">
        <f aca="false">IF(D13&gt;0,C13/D13*1000,"")</f>
        <v>95</v>
      </c>
      <c r="X13" s="4" t="n">
        <f aca="false">IF(G13&gt;0,C13/G13,"")</f>
        <v>0.19</v>
      </c>
      <c r="Y13" s="4" t="str">
        <f aca="false">IF(I13&gt;0,C13/I13,"")</f>
        <v/>
      </c>
      <c r="Z13" s="7" t="n">
        <f aca="false">IF(G13&gt;0,H13/G13,"")</f>
        <v>0</v>
      </c>
      <c r="AA13" s="7" t="str">
        <f aca="false">IF(H13&gt;0,I13/H13,"")</f>
        <v/>
      </c>
      <c r="AB13" s="6" t="n">
        <f aca="false">IF(D13&gt;0,J13/D13,"")</f>
        <v>0.5</v>
      </c>
      <c r="AC13" s="7" t="n">
        <f aca="false">IF(D13&gt;0,O13/D13,"")</f>
        <v>0</v>
      </c>
      <c r="AD13" s="7" t="str">
        <f aca="false">IF(O13&gt;0,S13/O13,"")</f>
        <v/>
      </c>
    </row>
    <row r="14" customFormat="false" ht="15" hidden="false" customHeight="false" outlineLevel="0" collapsed="false">
      <c r="A14" s="2" t="s">
        <v>70</v>
      </c>
      <c r="B14" s="2" t="s">
        <v>81</v>
      </c>
      <c r="C14" s="4" t="n">
        <v>0.09</v>
      </c>
      <c r="D14" s="5" t="n">
        <v>3</v>
      </c>
      <c r="E14" s="5" t="n">
        <v>3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1</v>
      </c>
      <c r="V14" s="6" t="n">
        <f aca="false">IF(D14&gt;0,G14/D14,"")</f>
        <v>0</v>
      </c>
      <c r="W14" s="4" t="n">
        <f aca="false">IF(D14&gt;0,C14/D14*1000,"")</f>
        <v>30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</v>
      </c>
      <c r="AC14" s="7" t="n">
        <f aca="false">IF(D14&gt;0,O14/D14,"")</f>
        <v>0</v>
      </c>
      <c r="AD14" s="7" t="str">
        <f aca="false">IF(O14&gt;0,S14/O14,"")</f>
        <v/>
      </c>
    </row>
    <row r="15" customFormat="false" ht="15" hidden="false" customHeight="false" outlineLevel="0" collapsed="false">
      <c r="A15" s="2" t="s">
        <v>68</v>
      </c>
      <c r="B15" s="2" t="s">
        <v>82</v>
      </c>
      <c r="C15" s="4" t="n">
        <v>0.01</v>
      </c>
      <c r="D15" s="5" t="n">
        <v>5</v>
      </c>
      <c r="E15" s="5" t="n">
        <v>5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</v>
      </c>
      <c r="V15" s="6" t="n">
        <f aca="false">IF(D15&gt;0,G15/D15,"")</f>
        <v>0</v>
      </c>
      <c r="W15" s="4" t="n">
        <f aca="false">IF(D15&gt;0,C15/D15*1000,"")</f>
        <v>2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</v>
      </c>
      <c r="AC15" s="7" t="n">
        <f aca="false">IF(D15&gt;0,O15/D15,"")</f>
        <v>0</v>
      </c>
      <c r="AD15" s="7" t="str">
        <f aca="false">IF(O15&gt;0,S15/O15,"")</f>
        <v/>
      </c>
    </row>
    <row r="16" customFormat="false" ht="15" hidden="false" customHeight="false" outlineLevel="0" collapsed="false">
      <c r="A16" s="11" t="s">
        <v>43</v>
      </c>
      <c r="B16" s="11"/>
      <c r="C16" s="12" t="n">
        <f aca="false">SUM(C2:C15)</f>
        <v>177.45</v>
      </c>
      <c r="D16" s="13" t="n">
        <f aca="false">SUM(D2:D15)</f>
        <v>1556</v>
      </c>
      <c r="E16" s="13"/>
      <c r="F16" s="13" t="n">
        <f aca="false">SUM(F2:F15)</f>
        <v>37</v>
      </c>
      <c r="G16" s="13" t="n">
        <f aca="false">SUM(G2:G15)</f>
        <v>25</v>
      </c>
      <c r="H16" s="13" t="n">
        <f aca="false">SUM(H2:H15)</f>
        <v>16</v>
      </c>
      <c r="I16" s="13" t="n">
        <f aca="false">SUM(I2:I15)</f>
        <v>1</v>
      </c>
      <c r="J16" s="13" t="n">
        <f aca="false">SUM(J2:J15)</f>
        <v>34</v>
      </c>
      <c r="K16" s="13" t="n">
        <f aca="false">SUM(K2:K15)</f>
        <v>7</v>
      </c>
      <c r="L16" s="13" t="n">
        <f aca="false">SUM(L2:L15)</f>
        <v>1</v>
      </c>
      <c r="M16" s="13" t="n">
        <f aca="false">SUM(M2:M15)</f>
        <v>1</v>
      </c>
      <c r="N16" s="13" t="n">
        <f aca="false">SUM(N2:N15)</f>
        <v>0</v>
      </c>
      <c r="O16" s="13" t="n">
        <f aca="false">SUM(O2:O15)</f>
        <v>0</v>
      </c>
      <c r="P16" s="13" t="n">
        <f aca="false">SUM(P2:P15)</f>
        <v>0</v>
      </c>
      <c r="Q16" s="13" t="n">
        <f aca="false">SUM(Q2:Q15)</f>
        <v>0</v>
      </c>
      <c r="R16" s="13" t="n">
        <f aca="false">SUM(R2:R15)</f>
        <v>0</v>
      </c>
      <c r="S16" s="13" t="n">
        <f aca="false">SUM(S2:S15)</f>
        <v>0</v>
      </c>
      <c r="T16" s="13" t="n">
        <f aca="false">SUM(T2:T15)</f>
        <v>0</v>
      </c>
      <c r="U16" s="14" t="str">
        <f aca="false">IF(E16&gt;0,D16/E16,"")</f>
        <v/>
      </c>
      <c r="V16" s="15" t="n">
        <f aca="false">IF(D16&gt;0,G16/D16,"")</f>
        <v>0.0160668380462725</v>
      </c>
      <c r="W16" s="12" t="n">
        <f aca="false">IF(D16&gt;0,C16/D16*1000,"")</f>
        <v>114.042416452442</v>
      </c>
      <c r="X16" s="12" t="n">
        <f aca="false">IF(G16&gt;0,C16/G16,"")</f>
        <v>7.098</v>
      </c>
      <c r="Y16" s="12" t="n">
        <f aca="false">IF(I16&gt;0,C16/I16,"")</f>
        <v>177.45</v>
      </c>
      <c r="Z16" s="16" t="n">
        <f aca="false">IF(G16&gt;0,H16/G16,"")</f>
        <v>0.64</v>
      </c>
      <c r="AA16" s="16" t="n">
        <f aca="false">IF(H16&gt;0,I16/H16,"")</f>
        <v>0.0625</v>
      </c>
      <c r="AB16" s="15" t="n">
        <f aca="false">IF(D16&gt;0,J16/D16,"")</f>
        <v>0.0218508997429306</v>
      </c>
      <c r="AC16" s="16" t="n">
        <f aca="false">IF(D16&gt;0,O16/D16,"")</f>
        <v>0</v>
      </c>
      <c r="AD16" s="16" t="str">
        <f aca="false">IF(O16&gt;0,S16/O16,"")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83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84</v>
      </c>
      <c r="B2" s="4" t="n">
        <v>120.56</v>
      </c>
      <c r="C2" s="5" t="n">
        <v>1100</v>
      </c>
      <c r="D2" s="5" t="n">
        <v>645</v>
      </c>
      <c r="E2" s="5" t="n">
        <v>26</v>
      </c>
      <c r="F2" s="5" t="n">
        <v>19</v>
      </c>
      <c r="G2" s="5" t="n">
        <v>13</v>
      </c>
      <c r="H2" s="5" t="n">
        <v>1</v>
      </c>
      <c r="I2" s="5" t="n">
        <v>25</v>
      </c>
      <c r="J2" s="5" t="n">
        <v>4</v>
      </c>
      <c r="K2" s="5" t="n">
        <v>1</v>
      </c>
      <c r="L2" s="5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1.70542635658915</v>
      </c>
      <c r="U2" s="6" t="n">
        <f aca="false">IF(C2&gt;0,F2/C2,"")</f>
        <v>0.0172727272727273</v>
      </c>
      <c r="V2" s="4" t="n">
        <f aca="false">IF(C2&gt;0,B2/C2*1000,"")</f>
        <v>109.6</v>
      </c>
      <c r="W2" s="4" t="n">
        <f aca="false">IF(F2&gt;0,B2/F2,"")</f>
        <v>6.34526315789474</v>
      </c>
      <c r="X2" s="4" t="n">
        <f aca="false">IF(H2&gt;0,B2/H2,"")</f>
        <v>120.56</v>
      </c>
      <c r="Y2" s="7" t="n">
        <f aca="false">IF(F2&gt;0,G2/F2,"")</f>
        <v>0.68421052631579</v>
      </c>
      <c r="Z2" s="7" t="n">
        <f aca="false">IF(G2&gt;0,H2/G2,"")</f>
        <v>0.0769230769230769</v>
      </c>
      <c r="AA2" s="6" t="n">
        <f aca="false">IF(C2&gt;0,I2/C2,"")</f>
        <v>0.0227272727272727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85</v>
      </c>
      <c r="B3" s="4" t="n">
        <v>51.85</v>
      </c>
      <c r="C3" s="5" t="n">
        <v>322</v>
      </c>
      <c r="D3" s="5" t="n">
        <v>229</v>
      </c>
      <c r="E3" s="5" t="n">
        <v>10</v>
      </c>
      <c r="F3" s="5" t="n">
        <v>5</v>
      </c>
      <c r="G3" s="5" t="n">
        <v>2</v>
      </c>
      <c r="H3" s="5" t="n">
        <v>0</v>
      </c>
      <c r="I3" s="5" t="n">
        <v>8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1.4061135371179</v>
      </c>
      <c r="U3" s="6" t="n">
        <f aca="false">IF(C3&gt;0,F3/C3,"")</f>
        <v>0.015527950310559</v>
      </c>
      <c r="V3" s="4" t="n">
        <f aca="false">IF(C3&gt;0,B3/C3*1000,"")</f>
        <v>161.024844720497</v>
      </c>
      <c r="W3" s="4" t="n">
        <f aca="false">IF(F3&gt;0,B3/F3,"")</f>
        <v>10.37</v>
      </c>
      <c r="X3" s="4" t="str">
        <f aca="false">IF(H3&gt;0,B3/H3,"")</f>
        <v/>
      </c>
      <c r="Y3" s="7" t="n">
        <f aca="false">IF(F3&gt;0,G3/F3,"")</f>
        <v>0.4</v>
      </c>
      <c r="Z3" s="7" t="n">
        <f aca="false">IF(G3&gt;0,H3/G3,"")</f>
        <v>0</v>
      </c>
      <c r="AA3" s="6" t="n">
        <f aca="false">IF(C3&gt;0,I3/C3,"")</f>
        <v>0.0248447204968944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86</v>
      </c>
      <c r="B4" s="4" t="n">
        <v>3.86</v>
      </c>
      <c r="C4" s="5" t="n">
        <v>117</v>
      </c>
      <c r="D4" s="5" t="n">
        <v>60</v>
      </c>
      <c r="E4" s="5" t="n">
        <v>1</v>
      </c>
      <c r="F4" s="5" t="n">
        <v>1</v>
      </c>
      <c r="G4" s="5" t="n">
        <v>1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1.95</v>
      </c>
      <c r="U4" s="6" t="n">
        <f aca="false">IF(C4&gt;0,F4/C4,"")</f>
        <v>0.00854700854700855</v>
      </c>
      <c r="V4" s="4" t="n">
        <f aca="false">IF(C4&gt;0,B4/C4*1000,"")</f>
        <v>32.991452991453</v>
      </c>
      <c r="W4" s="4" t="n">
        <f aca="false">IF(F4&gt;0,B4/F4,"")</f>
        <v>3.86</v>
      </c>
      <c r="X4" s="4" t="str">
        <f aca="false">IF(H4&gt;0,B4/H4,"")</f>
        <v/>
      </c>
      <c r="Y4" s="7" t="n">
        <f aca="false">IF(F4&gt;0,G4/F4,"")</f>
        <v>1</v>
      </c>
      <c r="Z4" s="7" t="n">
        <f aca="false">IF(G4&gt;0,H4/G4,"")</f>
        <v>0</v>
      </c>
      <c r="AA4" s="6" t="n">
        <f aca="false">IF(C4&gt;0,I4/C4,"")</f>
        <v>0.00854700854700855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87</v>
      </c>
      <c r="B5" s="4" t="n">
        <v>0.63</v>
      </c>
      <c r="C5" s="5" t="n">
        <v>5</v>
      </c>
      <c r="D5" s="5" t="n">
        <v>4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1.25</v>
      </c>
      <c r="U5" s="6" t="n">
        <f aca="false">IF(C5&gt;0,F5/C5,"")</f>
        <v>0</v>
      </c>
      <c r="V5" s="4" t="n">
        <f aca="false">IF(C5&gt;0,B5/C5*1000,"")</f>
        <v>126</v>
      </c>
      <c r="W5" s="4" t="str">
        <f aca="false">IF(F5&gt;0,B5/F5,"")</f>
        <v/>
      </c>
      <c r="X5" s="4" t="str">
        <f aca="false">IF(H5&gt;0,B5/H5,"")</f>
        <v/>
      </c>
      <c r="Y5" s="7" t="str">
        <f aca="false">IF(F5&gt;0,G5/F5,"")</f>
        <v/>
      </c>
      <c r="Z5" s="7" t="str">
        <f aca="false">IF(G5&gt;0,H5/G5,"")</f>
        <v/>
      </c>
      <c r="AA5" s="6" t="n">
        <f aca="false">IF(C5&gt;0,I5/C5,"")</f>
        <v>0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2" t="s">
        <v>88</v>
      </c>
      <c r="B6" s="4" t="n">
        <v>0.34</v>
      </c>
      <c r="C6" s="5" t="n">
        <v>2</v>
      </c>
      <c r="D6" s="5" t="n">
        <v>2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</v>
      </c>
      <c r="U6" s="6" t="n">
        <f aca="false">IF(C6&gt;0,F6/C6,"")</f>
        <v>0</v>
      </c>
      <c r="V6" s="4" t="n">
        <f aca="false">IF(C6&gt;0,B6/C6*1000,"")</f>
        <v>170</v>
      </c>
      <c r="W6" s="4" t="str">
        <f aca="false">IF(F6&gt;0,B6/F6,"")</f>
        <v/>
      </c>
      <c r="X6" s="4" t="str">
        <f aca="false">IF(H6&gt;0,B6/H6,"")</f>
        <v/>
      </c>
      <c r="Y6" s="7" t="str">
        <f aca="false">IF(F6&gt;0,G6/F6,"")</f>
        <v/>
      </c>
      <c r="Z6" s="7" t="str">
        <f aca="false">IF(G6&gt;0,H6/G6,"")</f>
        <v/>
      </c>
      <c r="AA6" s="6" t="n">
        <f aca="false">IF(C6&gt;0,I6/C6,"")</f>
        <v>0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2" t="s">
        <v>89</v>
      </c>
      <c r="B7" s="4" t="n">
        <v>0.21</v>
      </c>
      <c r="C7" s="5" t="n">
        <v>10</v>
      </c>
      <c r="D7" s="5" t="n">
        <v>9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1.11111111111111</v>
      </c>
      <c r="U7" s="6" t="n">
        <f aca="false">IF(C7&gt;0,F7/C7,"")</f>
        <v>0</v>
      </c>
      <c r="V7" s="4" t="n">
        <f aca="false">IF(C7&gt;0,B7/C7*1000,"")</f>
        <v>21</v>
      </c>
      <c r="W7" s="4" t="str">
        <f aca="false">IF(F7&gt;0,B7/F7,"")</f>
        <v/>
      </c>
      <c r="X7" s="4" t="str">
        <f aca="false">IF(H7&gt;0,B7/H7,"")</f>
        <v/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</v>
      </c>
      <c r="AB7" s="7" t="n">
        <f aca="false">IF(C7&gt;0,N7/C7,"")</f>
        <v>0</v>
      </c>
      <c r="AC7" s="7" t="str">
        <f aca="false">IF(N7&gt;0,R7/N7,"")</f>
        <v/>
      </c>
    </row>
    <row r="8" customFormat="false" ht="15" hidden="false" customHeight="false" outlineLevel="0" collapsed="false">
      <c r="A8" s="11" t="s">
        <v>43</v>
      </c>
      <c r="B8" s="12" t="n">
        <f aca="false">SUM(B2:B7)</f>
        <v>177.45</v>
      </c>
      <c r="C8" s="13" t="n">
        <f aca="false">SUM(C2:C7)</f>
        <v>1556</v>
      </c>
      <c r="D8" s="13"/>
      <c r="E8" s="13" t="n">
        <f aca="false">SUM(E2:E7)</f>
        <v>37</v>
      </c>
      <c r="F8" s="13" t="n">
        <f aca="false">SUM(F2:F7)</f>
        <v>25</v>
      </c>
      <c r="G8" s="13" t="n">
        <f aca="false">SUM(G2:G7)</f>
        <v>16</v>
      </c>
      <c r="H8" s="13" t="n">
        <f aca="false">SUM(H2:H7)</f>
        <v>1</v>
      </c>
      <c r="I8" s="13" t="n">
        <f aca="false">SUM(I2:I7)</f>
        <v>34</v>
      </c>
      <c r="J8" s="13" t="n">
        <f aca="false">SUM(J2:J7)</f>
        <v>7</v>
      </c>
      <c r="K8" s="13" t="n">
        <f aca="false">SUM(K2:K7)</f>
        <v>1</v>
      </c>
      <c r="L8" s="13" t="n">
        <f aca="false">SUM(L2:L7)</f>
        <v>1</v>
      </c>
      <c r="M8" s="13" t="n">
        <f aca="false">SUM(M2:M7)</f>
        <v>0</v>
      </c>
      <c r="N8" s="13" t="n">
        <f aca="false">SUM(N2:N7)</f>
        <v>0</v>
      </c>
      <c r="O8" s="13" t="n">
        <f aca="false">SUM(O2:O7)</f>
        <v>0</v>
      </c>
      <c r="P8" s="13" t="n">
        <f aca="false">SUM(P2:P7)</f>
        <v>0</v>
      </c>
      <c r="Q8" s="13" t="n">
        <f aca="false">SUM(Q2:Q7)</f>
        <v>0</v>
      </c>
      <c r="R8" s="13" t="n">
        <f aca="false">SUM(R2:R7)</f>
        <v>0</v>
      </c>
      <c r="S8" s="13" t="n">
        <f aca="false">SUM(S2:S7)</f>
        <v>0</v>
      </c>
      <c r="T8" s="14" t="str">
        <f aca="false">IF(D8&gt;0,C8/D8,"")</f>
        <v/>
      </c>
      <c r="U8" s="15" t="n">
        <f aca="false">IF(C8&gt;0,F8/C8,"")</f>
        <v>0.0160668380462725</v>
      </c>
      <c r="V8" s="12" t="n">
        <f aca="false">IF(C8&gt;0,B8/C8*1000,"")</f>
        <v>114.042416452442</v>
      </c>
      <c r="W8" s="12" t="n">
        <f aca="false">IF(F8&gt;0,B8/F8,"")</f>
        <v>7.098</v>
      </c>
      <c r="X8" s="12" t="n">
        <f aca="false">IF(H8&gt;0,B8/H8,"")</f>
        <v>177.45</v>
      </c>
      <c r="Y8" s="16" t="n">
        <f aca="false">IF(F8&gt;0,G8/F8,"")</f>
        <v>0.64</v>
      </c>
      <c r="Z8" s="16" t="n">
        <f aca="false">IF(G8&gt;0,H8/G8,"")</f>
        <v>0.0625</v>
      </c>
      <c r="AA8" s="15" t="n">
        <f aca="false">IF(C8&gt;0,I8/C8,"")</f>
        <v>0.0218508997429306</v>
      </c>
      <c r="AB8" s="16" t="n">
        <f aca="false">IF(C8&gt;0,N8/C8,"")</f>
        <v>0</v>
      </c>
      <c r="AC8" s="16" t="str">
        <f aca="false">IF(N8&gt;0,R8/N8,"")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90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91</v>
      </c>
      <c r="B2" s="4" t="n">
        <v>2.47</v>
      </c>
      <c r="C2" s="5" t="n">
        <v>28</v>
      </c>
      <c r="D2" s="5"/>
      <c r="E2" s="5" t="n">
        <v>2</v>
      </c>
      <c r="F2" s="5" t="n">
        <v>2</v>
      </c>
      <c r="G2" s="5" t="n">
        <v>2</v>
      </c>
      <c r="H2" s="5" t="n">
        <v>0</v>
      </c>
      <c r="I2" s="5" t="n">
        <v>2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str">
        <f aca="false">IF(D2&gt;0,C2/D2,"")</f>
        <v/>
      </c>
      <c r="U2" s="6" t="n">
        <f aca="false">IF(C2&gt;0,F2/C2,"")</f>
        <v>0.0714285714285714</v>
      </c>
      <c r="V2" s="4" t="n">
        <f aca="false">IF(C2&gt;0,B2/C2*1000,"")</f>
        <v>88.2142857142857</v>
      </c>
      <c r="W2" s="4" t="n">
        <f aca="false">IF(F2&gt;0,B2/F2,"")</f>
        <v>1.235</v>
      </c>
      <c r="X2" s="4" t="str">
        <f aca="false">IF(H2&gt;0,B2/H2,"")</f>
        <v/>
      </c>
      <c r="Y2" s="7" t="n">
        <f aca="false">IF(F2&gt;0,G2/F2,"")</f>
        <v>1</v>
      </c>
      <c r="Z2" s="7" t="n">
        <f aca="false">IF(G2&gt;0,H2/G2,"")</f>
        <v>0</v>
      </c>
      <c r="AA2" s="6" t="n">
        <f aca="false">IF(C2&gt;0,I2/C2,"")</f>
        <v>0.0714285714285714</v>
      </c>
      <c r="AB2" s="7" t="n">
        <f aca="false">IF(C2&gt;0,N2/C2,"")</f>
        <v>0</v>
      </c>
      <c r="AC2" s="7" t="str">
        <f aca="false">IF(N2&gt;0,R2/N2,"")</f>
        <v/>
      </c>
    </row>
    <row r="3" customFormat="false" ht="15" hidden="false" customHeight="false" outlineLevel="0" collapsed="false">
      <c r="A3" s="2" t="s">
        <v>92</v>
      </c>
      <c r="B3" s="4" t="n">
        <v>11.78</v>
      </c>
      <c r="C3" s="5" t="n">
        <v>83</v>
      </c>
      <c r="D3" s="5"/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str">
        <f aca="false">IF(D3&gt;0,C3/D3,"")</f>
        <v/>
      </c>
      <c r="U3" s="6" t="n">
        <f aca="false">IF(C3&gt;0,F3/C3,"")</f>
        <v>0</v>
      </c>
      <c r="V3" s="4" t="n">
        <f aca="false">IF(C3&gt;0,B3/C3*1000,"")</f>
        <v>141.927710843374</v>
      </c>
      <c r="W3" s="4" t="str">
        <f aca="false">IF(F3&gt;0,B3/F3,"")</f>
        <v/>
      </c>
      <c r="X3" s="4" t="str">
        <f aca="false">IF(H3&gt;0,B3/H3,"")</f>
        <v/>
      </c>
      <c r="Y3" s="7" t="str">
        <f aca="false">IF(F3&gt;0,G3/F3,"")</f>
        <v/>
      </c>
      <c r="Z3" s="7" t="str">
        <f aca="false">IF(G3&gt;0,H3/G3,"")</f>
        <v/>
      </c>
      <c r="AA3" s="6" t="n">
        <f aca="false">IF(C3&gt;0,I3/C3,"")</f>
        <v>0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93</v>
      </c>
      <c r="B4" s="4" t="n">
        <v>5.86</v>
      </c>
      <c r="C4" s="5" t="n">
        <v>57</v>
      </c>
      <c r="D4" s="5"/>
      <c r="E4" s="5" t="n">
        <v>2</v>
      </c>
      <c r="F4" s="5" t="n">
        <v>2</v>
      </c>
      <c r="G4" s="5" t="n">
        <v>1</v>
      </c>
      <c r="H4" s="5" t="n">
        <v>0</v>
      </c>
      <c r="I4" s="5" t="n">
        <v>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str">
        <f aca="false">IF(D4&gt;0,C4/D4,"")</f>
        <v/>
      </c>
      <c r="U4" s="6" t="n">
        <f aca="false">IF(C4&gt;0,F4/C4,"")</f>
        <v>0.0350877192982456</v>
      </c>
      <c r="V4" s="4" t="n">
        <f aca="false">IF(C4&gt;0,B4/C4*1000,"")</f>
        <v>102.80701754386</v>
      </c>
      <c r="W4" s="4" t="n">
        <f aca="false">IF(F4&gt;0,B4/F4,"")</f>
        <v>2.93</v>
      </c>
      <c r="X4" s="4" t="str">
        <f aca="false">IF(H4&gt;0,B4/H4,"")</f>
        <v/>
      </c>
      <c r="Y4" s="7" t="n">
        <f aca="false">IF(F4&gt;0,G4/F4,"")</f>
        <v>0.5</v>
      </c>
      <c r="Z4" s="7" t="n">
        <f aca="false">IF(G4&gt;0,H4/G4,"")</f>
        <v>0</v>
      </c>
      <c r="AA4" s="6" t="n">
        <f aca="false">IF(C4&gt;0,I4/C4,"")</f>
        <v>0.0350877192982456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94</v>
      </c>
      <c r="B5" s="4" t="n">
        <v>2.98</v>
      </c>
      <c r="C5" s="5" t="n">
        <v>44</v>
      </c>
      <c r="D5" s="5"/>
      <c r="E5" s="5" t="n">
        <v>3</v>
      </c>
      <c r="F5" s="5" t="n">
        <v>2</v>
      </c>
      <c r="G5" s="5" t="n">
        <v>2</v>
      </c>
      <c r="H5" s="5" t="n">
        <v>0</v>
      </c>
      <c r="I5" s="5" t="n">
        <v>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str">
        <f aca="false">IF(D5&gt;0,C5/D5,"")</f>
        <v/>
      </c>
      <c r="U5" s="6" t="n">
        <f aca="false">IF(C5&gt;0,F5/C5,"")</f>
        <v>0.0454545454545455</v>
      </c>
      <c r="V5" s="4" t="n">
        <f aca="false">IF(C5&gt;0,B5/C5*1000,"")</f>
        <v>67.7272727272727</v>
      </c>
      <c r="W5" s="4" t="n">
        <f aca="false">IF(F5&gt;0,B5/F5,"")</f>
        <v>1.49</v>
      </c>
      <c r="X5" s="4" t="str">
        <f aca="false">IF(H5&gt;0,B5/H5,"")</f>
        <v/>
      </c>
      <c r="Y5" s="7" t="n">
        <f aca="false">IF(F5&gt;0,G5/F5,"")</f>
        <v>1</v>
      </c>
      <c r="Z5" s="7" t="n">
        <f aca="false">IF(G5&gt;0,H5/G5,"")</f>
        <v>0</v>
      </c>
      <c r="AA5" s="6" t="n">
        <f aca="false">IF(C5&gt;0,I5/C5,"")</f>
        <v>0.0454545454545455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2" t="s">
        <v>95</v>
      </c>
      <c r="B6" s="4" t="n">
        <v>6.22</v>
      </c>
      <c r="C6" s="5" t="n">
        <v>67</v>
      </c>
      <c r="D6" s="5"/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str">
        <f aca="false">IF(D6&gt;0,C6/D6,"")</f>
        <v/>
      </c>
      <c r="U6" s="6" t="n">
        <f aca="false">IF(C6&gt;0,F6/C6,"")</f>
        <v>0</v>
      </c>
      <c r="V6" s="4" t="n">
        <f aca="false">IF(C6&gt;0,B6/C6*1000,"")</f>
        <v>92.8358208955224</v>
      </c>
      <c r="W6" s="4" t="str">
        <f aca="false">IF(F6&gt;0,B6/F6,"")</f>
        <v/>
      </c>
      <c r="X6" s="4" t="str">
        <f aca="false">IF(H6&gt;0,B6/H6,"")</f>
        <v/>
      </c>
      <c r="Y6" s="7" t="str">
        <f aca="false">IF(F6&gt;0,G6/F6,"")</f>
        <v/>
      </c>
      <c r="Z6" s="7" t="str">
        <f aca="false">IF(G6&gt;0,H6/G6,"")</f>
        <v/>
      </c>
      <c r="AA6" s="6" t="n">
        <f aca="false">IF(C6&gt;0,I6/C6,"")</f>
        <v>0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2" t="s">
        <v>96</v>
      </c>
      <c r="B7" s="4" t="n">
        <v>6.34</v>
      </c>
      <c r="C7" s="5" t="n">
        <v>50</v>
      </c>
      <c r="D7" s="5"/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str">
        <f aca="false">IF(D7&gt;0,C7/D7,"")</f>
        <v/>
      </c>
      <c r="U7" s="6" t="n">
        <f aca="false">IF(C7&gt;0,F7/C7,"")</f>
        <v>0</v>
      </c>
      <c r="V7" s="4" t="n">
        <f aca="false">IF(C7&gt;0,B7/C7*1000,"")</f>
        <v>126.8</v>
      </c>
      <c r="W7" s="4" t="str">
        <f aca="false">IF(F7&gt;0,B7/F7,"")</f>
        <v/>
      </c>
      <c r="X7" s="4" t="str">
        <f aca="false">IF(H7&gt;0,B7/H7,"")</f>
        <v/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</v>
      </c>
      <c r="AB7" s="7" t="n">
        <f aca="false">IF(C7&gt;0,N7/C7,"")</f>
        <v>0</v>
      </c>
      <c r="AC7" s="7" t="str">
        <f aca="false">IF(N7&gt;0,R7/N7,"")</f>
        <v/>
      </c>
    </row>
    <row r="8" customFormat="false" ht="15" hidden="false" customHeight="false" outlineLevel="0" collapsed="false">
      <c r="A8" s="2" t="s">
        <v>97</v>
      </c>
      <c r="B8" s="4" t="n">
        <v>10.33</v>
      </c>
      <c r="C8" s="5" t="n">
        <v>96</v>
      </c>
      <c r="D8" s="5"/>
      <c r="E8" s="5" t="n">
        <v>2</v>
      </c>
      <c r="F8" s="5" t="n">
        <v>2</v>
      </c>
      <c r="G8" s="5" t="n">
        <v>1</v>
      </c>
      <c r="H8" s="5" t="n">
        <v>0</v>
      </c>
      <c r="I8" s="5" t="n">
        <v>3</v>
      </c>
      <c r="J8" s="5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str">
        <f aca="false">IF(D8&gt;0,C8/D8,"")</f>
        <v/>
      </c>
      <c r="U8" s="6" t="n">
        <f aca="false">IF(C8&gt;0,F8/C8,"")</f>
        <v>0.0208333333333333</v>
      </c>
      <c r="V8" s="4" t="n">
        <f aca="false">IF(C8&gt;0,B8/C8*1000,"")</f>
        <v>107.604166666667</v>
      </c>
      <c r="W8" s="4" t="n">
        <f aca="false">IF(F8&gt;0,B8/F8,"")</f>
        <v>5.165</v>
      </c>
      <c r="X8" s="4" t="str">
        <f aca="false">IF(H8&gt;0,B8/H8,"")</f>
        <v/>
      </c>
      <c r="Y8" s="7" t="n">
        <f aca="false">IF(F8&gt;0,G8/F8,"")</f>
        <v>0.5</v>
      </c>
      <c r="Z8" s="7" t="n">
        <f aca="false">IF(G8&gt;0,H8/G8,"")</f>
        <v>0</v>
      </c>
      <c r="AA8" s="6" t="n">
        <f aca="false">IF(C8&gt;0,I8/C8,"")</f>
        <v>0.03125</v>
      </c>
      <c r="AB8" s="7" t="n">
        <f aca="false">IF(C8&gt;0,N8/C8,"")</f>
        <v>0</v>
      </c>
      <c r="AC8" s="7" t="str">
        <f aca="false">IF(N8&gt;0,R8/N8,"")</f>
        <v/>
      </c>
    </row>
    <row r="9" customFormat="false" ht="15" hidden="false" customHeight="false" outlineLevel="0" collapsed="false">
      <c r="A9" s="2" t="s">
        <v>98</v>
      </c>
      <c r="B9" s="4" t="n">
        <v>15.75</v>
      </c>
      <c r="C9" s="5" t="n">
        <v>100</v>
      </c>
      <c r="D9" s="5"/>
      <c r="E9" s="5" t="n">
        <v>2</v>
      </c>
      <c r="F9" s="5" t="n">
        <v>2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str">
        <f aca="false">IF(D9&gt;0,C9/D9,"")</f>
        <v/>
      </c>
      <c r="U9" s="6" t="n">
        <f aca="false">IF(C9&gt;0,F9/C9,"")</f>
        <v>0.02</v>
      </c>
      <c r="V9" s="4" t="n">
        <f aca="false">IF(C9&gt;0,B9/C9*1000,"")</f>
        <v>157.5</v>
      </c>
      <c r="W9" s="4" t="n">
        <f aca="false">IF(F9&gt;0,B9/F9,"")</f>
        <v>7.875</v>
      </c>
      <c r="X9" s="4" t="str">
        <f aca="false">IF(H9&gt;0,B9/H9,"")</f>
        <v/>
      </c>
      <c r="Y9" s="7" t="n">
        <f aca="false">IF(F9&gt;0,G9/F9,"")</f>
        <v>0</v>
      </c>
      <c r="Z9" s="7" t="str">
        <f aca="false">IF(G9&gt;0,H9/G9,"")</f>
        <v/>
      </c>
      <c r="AA9" s="6" t="n">
        <f aca="false">IF(C9&gt;0,I9/C9,"")</f>
        <v>0.02</v>
      </c>
      <c r="AB9" s="7" t="n">
        <f aca="false">IF(C9&gt;0,N9/C9,"")</f>
        <v>0</v>
      </c>
      <c r="AC9" s="7" t="str">
        <f aca="false">IF(N9&gt;0,R9/N9,"")</f>
        <v/>
      </c>
    </row>
    <row r="10" customFormat="false" ht="15" hidden="false" customHeight="false" outlineLevel="0" collapsed="false">
      <c r="A10" s="2" t="s">
        <v>99</v>
      </c>
      <c r="B10" s="4" t="n">
        <v>9.15</v>
      </c>
      <c r="C10" s="5" t="n">
        <v>107</v>
      </c>
      <c r="D10" s="5"/>
      <c r="E10" s="5" t="n">
        <v>0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str">
        <f aca="false">IF(D10&gt;0,C10/D10,"")</f>
        <v/>
      </c>
      <c r="U10" s="6" t="n">
        <f aca="false">IF(C10&gt;0,F10/C10,"")</f>
        <v>0</v>
      </c>
      <c r="V10" s="4" t="n">
        <f aca="false">IF(C10&gt;0,B10/C10*1000,"")</f>
        <v>85.5140186915888</v>
      </c>
      <c r="W10" s="4" t="str">
        <f aca="false">IF(F10&gt;0,B10/F10,"")</f>
        <v/>
      </c>
      <c r="X10" s="4" t="str">
        <f aca="false">IF(H10&gt;0,B10/H10,"")</f>
        <v/>
      </c>
      <c r="Y10" s="7" t="str">
        <f aca="false">IF(F10&gt;0,G10/F10,"")</f>
        <v/>
      </c>
      <c r="Z10" s="7" t="n">
        <f aca="false">IF(G10&gt;0,H10/G10,"")</f>
        <v>0</v>
      </c>
      <c r="AA10" s="6" t="n">
        <f aca="false">IF(C10&gt;0,I10/C10,"")</f>
        <v>0</v>
      </c>
      <c r="AB10" s="7" t="n">
        <f aca="false">IF(C10&gt;0,N10/C10,"")</f>
        <v>0</v>
      </c>
      <c r="AC10" s="7" t="str">
        <f aca="false">IF(N10&gt;0,R10/N10,"")</f>
        <v/>
      </c>
    </row>
    <row r="11" customFormat="false" ht="15" hidden="false" customHeight="false" outlineLevel="0" collapsed="false">
      <c r="A11" s="2" t="s">
        <v>100</v>
      </c>
      <c r="B11" s="4" t="n">
        <v>10.07</v>
      </c>
      <c r="C11" s="5" t="n">
        <v>99</v>
      </c>
      <c r="D11" s="5"/>
      <c r="E11" s="5" t="n">
        <v>3</v>
      </c>
      <c r="F11" s="5" t="n">
        <v>1</v>
      </c>
      <c r="G11" s="5" t="n">
        <v>1</v>
      </c>
      <c r="H11" s="5" t="n">
        <v>0</v>
      </c>
      <c r="I11" s="5" t="n">
        <v>3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str">
        <f aca="false">IF(D11&gt;0,C11/D11,"")</f>
        <v/>
      </c>
      <c r="U11" s="6" t="n">
        <f aca="false">IF(C11&gt;0,F11/C11,"")</f>
        <v>0.0101010101010101</v>
      </c>
      <c r="V11" s="4" t="n">
        <f aca="false">IF(C11&gt;0,B11/C11*1000,"")</f>
        <v>101.717171717172</v>
      </c>
      <c r="W11" s="4" t="n">
        <f aca="false">IF(F11&gt;0,B11/F11,"")</f>
        <v>10.07</v>
      </c>
      <c r="X11" s="4" t="str">
        <f aca="false">IF(H11&gt;0,B11/H11,"")</f>
        <v/>
      </c>
      <c r="Y11" s="7" t="n">
        <f aca="false">IF(F11&gt;0,G11/F11,"")</f>
        <v>1</v>
      </c>
      <c r="Z11" s="7" t="n">
        <f aca="false">IF(G11&gt;0,H11/G11,"")</f>
        <v>0</v>
      </c>
      <c r="AA11" s="6" t="n">
        <f aca="false">IF(C11&gt;0,I11/C11,"")</f>
        <v>0.0303030303030303</v>
      </c>
      <c r="AB11" s="7" t="n">
        <f aca="false">IF(C11&gt;0,N11/C11,"")</f>
        <v>0</v>
      </c>
      <c r="AC11" s="7" t="str">
        <f aca="false">IF(N11&gt;0,R11/N11,"")</f>
        <v/>
      </c>
    </row>
    <row r="12" customFormat="false" ht="15" hidden="false" customHeight="false" outlineLevel="0" collapsed="false">
      <c r="A12" s="2" t="s">
        <v>101</v>
      </c>
      <c r="B12" s="4" t="n">
        <v>18.61</v>
      </c>
      <c r="C12" s="5" t="n">
        <v>119</v>
      </c>
      <c r="D12" s="5"/>
      <c r="E12" s="5" t="n">
        <v>6</v>
      </c>
      <c r="F12" s="5" t="n">
        <v>4</v>
      </c>
      <c r="G12" s="5" t="n">
        <v>2</v>
      </c>
      <c r="H12" s="5" t="n">
        <v>0</v>
      </c>
      <c r="I12" s="5" t="n">
        <v>4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 t="str">
        <f aca="false">IF(D12&gt;0,C12/D12,"")</f>
        <v/>
      </c>
      <c r="U12" s="6" t="n">
        <f aca="false">IF(C12&gt;0,F12/C12,"")</f>
        <v>0.0336134453781513</v>
      </c>
      <c r="V12" s="4" t="n">
        <f aca="false">IF(C12&gt;0,B12/C12*1000,"")</f>
        <v>156.386554621849</v>
      </c>
      <c r="W12" s="4" t="n">
        <f aca="false">IF(F12&gt;0,B12/F12,"")</f>
        <v>4.6525</v>
      </c>
      <c r="X12" s="4" t="str">
        <f aca="false">IF(H12&gt;0,B12/H12,"")</f>
        <v/>
      </c>
      <c r="Y12" s="7" t="n">
        <f aca="false">IF(F12&gt;0,G12/F12,"")</f>
        <v>0.5</v>
      </c>
      <c r="Z12" s="7" t="n">
        <f aca="false">IF(G12&gt;0,H12/G12,"")</f>
        <v>0</v>
      </c>
      <c r="AA12" s="6" t="n">
        <f aca="false">IF(C12&gt;0,I12/C12,"")</f>
        <v>0.0336134453781513</v>
      </c>
      <c r="AB12" s="7" t="n">
        <f aca="false">IF(C12&gt;0,N12/C12,"")</f>
        <v>0</v>
      </c>
      <c r="AC12" s="7" t="str">
        <f aca="false">IF(N12&gt;0,R12/N12,"")</f>
        <v/>
      </c>
    </row>
    <row r="13" customFormat="false" ht="15" hidden="false" customHeight="false" outlineLevel="0" collapsed="false">
      <c r="A13" s="2" t="s">
        <v>102</v>
      </c>
      <c r="B13" s="4" t="n">
        <v>13.69</v>
      </c>
      <c r="C13" s="5" t="n">
        <v>98</v>
      </c>
      <c r="D13" s="5"/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 t="str">
        <f aca="false">IF(D13&gt;0,C13/D13,"")</f>
        <v/>
      </c>
      <c r="U13" s="6" t="n">
        <f aca="false">IF(C13&gt;0,F13/C13,"")</f>
        <v>0</v>
      </c>
      <c r="V13" s="4" t="n">
        <f aca="false">IF(C13&gt;0,B13/C13*1000,"")</f>
        <v>139.69387755102</v>
      </c>
      <c r="W13" s="4" t="str">
        <f aca="false">IF(F13&gt;0,B13/F13,"")</f>
        <v/>
      </c>
      <c r="X13" s="4" t="str">
        <f aca="false">IF(H13&gt;0,B13/H13,"")</f>
        <v/>
      </c>
      <c r="Y13" s="7" t="str">
        <f aca="false">IF(F13&gt;0,G13/F13,"")</f>
        <v/>
      </c>
      <c r="Z13" s="7" t="str">
        <f aca="false">IF(G13&gt;0,H13/G13,"")</f>
        <v/>
      </c>
      <c r="AA13" s="6" t="n">
        <f aca="false">IF(C13&gt;0,I13/C13,"")</f>
        <v>0</v>
      </c>
      <c r="AB13" s="7" t="n">
        <f aca="false">IF(C13&gt;0,N13/C13,"")</f>
        <v>0</v>
      </c>
      <c r="AC13" s="7" t="str">
        <f aca="false">IF(N13&gt;0,R13/N13,"")</f>
        <v/>
      </c>
    </row>
    <row r="14" customFormat="false" ht="15" hidden="false" customHeight="false" outlineLevel="0" collapsed="false">
      <c r="A14" s="2" t="s">
        <v>103</v>
      </c>
      <c r="B14" s="4" t="n">
        <v>6.29</v>
      </c>
      <c r="C14" s="5" t="n">
        <v>69</v>
      </c>
      <c r="D14" s="5"/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 t="str">
        <f aca="false">IF(D14&gt;0,C14/D14,"")</f>
        <v/>
      </c>
      <c r="U14" s="6" t="n">
        <f aca="false">IF(C14&gt;0,F14/C14,"")</f>
        <v>0</v>
      </c>
      <c r="V14" s="4" t="n">
        <f aca="false">IF(C14&gt;0,B14/C14*1000,"")</f>
        <v>91.1594202898551</v>
      </c>
      <c r="W14" s="4" t="str">
        <f aca="false">IF(F14&gt;0,B14/F14,"")</f>
        <v/>
      </c>
      <c r="X14" s="4" t="str">
        <f aca="false">IF(H14&gt;0,B14/H14,"")</f>
        <v/>
      </c>
      <c r="Y14" s="7" t="str">
        <f aca="false">IF(F14&gt;0,G14/F14,"")</f>
        <v/>
      </c>
      <c r="Z14" s="7" t="str">
        <f aca="false">IF(G14&gt;0,H14/G14,"")</f>
        <v/>
      </c>
      <c r="AA14" s="6" t="n">
        <f aca="false">IF(C14&gt;0,I14/C14,"")</f>
        <v>0</v>
      </c>
      <c r="AB14" s="7" t="n">
        <f aca="false">IF(C14&gt;0,N14/C14,"")</f>
        <v>0</v>
      </c>
      <c r="AC14" s="7" t="str">
        <f aca="false">IF(N14&gt;0,R14/N14,"")</f>
        <v/>
      </c>
    </row>
    <row r="15" customFormat="false" ht="15" hidden="false" customHeight="false" outlineLevel="0" collapsed="false">
      <c r="A15" s="2" t="s">
        <v>104</v>
      </c>
      <c r="B15" s="4" t="n">
        <v>5.51</v>
      </c>
      <c r="C15" s="5" t="n">
        <v>70</v>
      </c>
      <c r="D15" s="5"/>
      <c r="E15" s="5" t="n">
        <v>1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 t="str">
        <f aca="false">IF(D15&gt;0,C15/D15,"")</f>
        <v/>
      </c>
      <c r="U15" s="6" t="n">
        <f aca="false">IF(C15&gt;0,F15/C15,"")</f>
        <v>0.0142857142857143</v>
      </c>
      <c r="V15" s="4" t="n">
        <f aca="false">IF(C15&gt;0,B15/C15*1000,"")</f>
        <v>78.7142857142857</v>
      </c>
      <c r="W15" s="4" t="n">
        <f aca="false">IF(F15&gt;0,B15/F15,"")</f>
        <v>5.51</v>
      </c>
      <c r="X15" s="4" t="str">
        <f aca="false">IF(H15&gt;0,B15/H15,"")</f>
        <v/>
      </c>
      <c r="Y15" s="7" t="n">
        <f aca="false">IF(F15&gt;0,G15/F15,"")</f>
        <v>1</v>
      </c>
      <c r="Z15" s="7" t="n">
        <f aca="false">IF(G15&gt;0,H15/G15,"")</f>
        <v>0</v>
      </c>
      <c r="AA15" s="6" t="n">
        <f aca="false">IF(C15&gt;0,I15/C15,"")</f>
        <v>0.0142857142857143</v>
      </c>
      <c r="AB15" s="7" t="n">
        <f aca="false">IF(C15&gt;0,N15/C15,"")</f>
        <v>0</v>
      </c>
      <c r="AC15" s="7" t="str">
        <f aca="false">IF(N15&gt;0,R15/N15,"")</f>
        <v/>
      </c>
    </row>
    <row r="16" customFormat="false" ht="15" hidden="false" customHeight="false" outlineLevel="0" collapsed="false">
      <c r="A16" s="2" t="s">
        <v>105</v>
      </c>
      <c r="B16" s="4" t="n">
        <v>5.83</v>
      </c>
      <c r="C16" s="5" t="n">
        <v>60</v>
      </c>
      <c r="D16" s="5"/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 t="str">
        <f aca="false">IF(D16&gt;0,C16/D16,"")</f>
        <v/>
      </c>
      <c r="U16" s="6" t="n">
        <f aca="false">IF(C16&gt;0,F16/C16,"")</f>
        <v>0</v>
      </c>
      <c r="V16" s="4" t="n">
        <f aca="false">IF(C16&gt;0,B16/C16*1000,"")</f>
        <v>97.1666666666667</v>
      </c>
      <c r="W16" s="4" t="str">
        <f aca="false">IF(F16&gt;0,B16/F16,"")</f>
        <v/>
      </c>
      <c r="X16" s="4" t="str">
        <f aca="false">IF(H16&gt;0,B16/H16,"")</f>
        <v/>
      </c>
      <c r="Y16" s="7" t="str">
        <f aca="false">IF(F16&gt;0,G16/F16,"")</f>
        <v/>
      </c>
      <c r="Z16" s="7" t="str">
        <f aca="false">IF(G16&gt;0,H16/G16,"")</f>
        <v/>
      </c>
      <c r="AA16" s="6" t="n">
        <f aca="false">IF(C16&gt;0,I16/C16,"")</f>
        <v>0</v>
      </c>
      <c r="AB16" s="7" t="n">
        <f aca="false">IF(C16&gt;0,N16/C16,"")</f>
        <v>0</v>
      </c>
      <c r="AC16" s="7" t="str">
        <f aca="false">IF(N16&gt;0,R16/N16,"")</f>
        <v/>
      </c>
    </row>
    <row r="17" customFormat="false" ht="15" hidden="false" customHeight="false" outlineLevel="0" collapsed="false">
      <c r="A17" s="2" t="s">
        <v>106</v>
      </c>
      <c r="B17" s="4" t="n">
        <v>7.31</v>
      </c>
      <c r="C17" s="5" t="n">
        <v>84</v>
      </c>
      <c r="D17" s="5"/>
      <c r="E17" s="5" t="n">
        <v>3</v>
      </c>
      <c r="F17" s="5" t="n">
        <v>2</v>
      </c>
      <c r="G17" s="5" t="n">
        <v>2</v>
      </c>
      <c r="H17" s="5" t="n">
        <v>1</v>
      </c>
      <c r="I17" s="5" t="n">
        <v>5</v>
      </c>
      <c r="J17" s="5" t="n">
        <v>2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 t="str">
        <f aca="false">IF(D17&gt;0,C17/D17,"")</f>
        <v/>
      </c>
      <c r="U17" s="6" t="n">
        <f aca="false">IF(C17&gt;0,F17/C17,"")</f>
        <v>0.0238095238095238</v>
      </c>
      <c r="V17" s="4" t="n">
        <f aca="false">IF(C17&gt;0,B17/C17*1000,"")</f>
        <v>87.0238095238095</v>
      </c>
      <c r="W17" s="4" t="n">
        <f aca="false">IF(F17&gt;0,B17/F17,"")</f>
        <v>3.655</v>
      </c>
      <c r="X17" s="4" t="n">
        <f aca="false">IF(H17&gt;0,B17/H17,"")</f>
        <v>7.31</v>
      </c>
      <c r="Y17" s="7" t="n">
        <f aca="false">IF(F17&gt;0,G17/F17,"")</f>
        <v>1</v>
      </c>
      <c r="Z17" s="7" t="n">
        <f aca="false">IF(G17&gt;0,H17/G17,"")</f>
        <v>0.5</v>
      </c>
      <c r="AA17" s="6" t="n">
        <f aca="false">IF(C17&gt;0,I17/C17,"")</f>
        <v>0.0595238095238095</v>
      </c>
      <c r="AB17" s="7" t="n">
        <f aca="false">IF(C17&gt;0,N17/C17,"")</f>
        <v>0</v>
      </c>
      <c r="AC17" s="7" t="str">
        <f aca="false">IF(N17&gt;0,R17/N17,"")</f>
        <v/>
      </c>
    </row>
    <row r="18" customFormat="false" ht="15" hidden="false" customHeight="false" outlineLevel="0" collapsed="false">
      <c r="A18" s="2" t="s">
        <v>107</v>
      </c>
      <c r="B18" s="4" t="n">
        <v>2.42</v>
      </c>
      <c r="C18" s="5" t="n">
        <v>49</v>
      </c>
      <c r="D18" s="5"/>
      <c r="E18" s="5" t="n">
        <v>4</v>
      </c>
      <c r="F18" s="5" t="n">
        <v>3</v>
      </c>
      <c r="G18" s="5" t="n">
        <v>2</v>
      </c>
      <c r="H18" s="5" t="n">
        <v>0</v>
      </c>
      <c r="I18" s="5" t="n">
        <v>3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 t="str">
        <f aca="false">IF(D18&gt;0,C18/D18,"")</f>
        <v/>
      </c>
      <c r="U18" s="6" t="n">
        <f aca="false">IF(C18&gt;0,F18/C18,"")</f>
        <v>0.0612244897959184</v>
      </c>
      <c r="V18" s="4" t="n">
        <f aca="false">IF(C18&gt;0,B18/C18*1000,"")</f>
        <v>49.3877551020408</v>
      </c>
      <c r="W18" s="4" t="n">
        <f aca="false">IF(F18&gt;0,B18/F18,"")</f>
        <v>0.806666666666667</v>
      </c>
      <c r="X18" s="4" t="str">
        <f aca="false">IF(H18&gt;0,B18/H18,"")</f>
        <v/>
      </c>
      <c r="Y18" s="7" t="n">
        <f aca="false">IF(F18&gt;0,G18/F18,"")</f>
        <v>0.666666666666667</v>
      </c>
      <c r="Z18" s="7" t="n">
        <f aca="false">IF(G18&gt;0,H18/G18,"")</f>
        <v>0</v>
      </c>
      <c r="AA18" s="6" t="n">
        <f aca="false">IF(C18&gt;0,I18/C18,"")</f>
        <v>0.0612244897959184</v>
      </c>
      <c r="AB18" s="7" t="n">
        <f aca="false">IF(C18&gt;0,N18/C18,"")</f>
        <v>0</v>
      </c>
      <c r="AC18" s="7" t="str">
        <f aca="false">IF(N18&gt;0,R18/N18,"")</f>
        <v/>
      </c>
    </row>
    <row r="19" customFormat="false" ht="15" hidden="false" customHeight="false" outlineLevel="0" collapsed="false">
      <c r="A19" s="2" t="s">
        <v>108</v>
      </c>
      <c r="B19" s="4" t="n">
        <v>2.85</v>
      </c>
      <c r="C19" s="5" t="n">
        <v>58</v>
      </c>
      <c r="D19" s="5"/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 t="str">
        <f aca="false">IF(D19&gt;0,C19/D19,"")</f>
        <v/>
      </c>
      <c r="U19" s="6" t="n">
        <f aca="false">IF(C19&gt;0,F19/C19,"")</f>
        <v>0</v>
      </c>
      <c r="V19" s="4" t="n">
        <f aca="false">IF(C19&gt;0,B19/C19*1000,"")</f>
        <v>49.1379310344828</v>
      </c>
      <c r="W19" s="4" t="str">
        <f aca="false">IF(F19&gt;0,B19/F19,"")</f>
        <v/>
      </c>
      <c r="X19" s="4" t="str">
        <f aca="false">IF(H19&gt;0,B19/H19,"")</f>
        <v/>
      </c>
      <c r="Y19" s="7" t="str">
        <f aca="false">IF(F19&gt;0,G19/F19,"")</f>
        <v/>
      </c>
      <c r="Z19" s="7" t="str">
        <f aca="false">IF(G19&gt;0,H19/G19,"")</f>
        <v/>
      </c>
      <c r="AA19" s="6" t="n">
        <f aca="false">IF(C19&gt;0,I19/C19,"")</f>
        <v>0</v>
      </c>
      <c r="AB19" s="7" t="n">
        <f aca="false">IF(C19&gt;0,N19/C19,"")</f>
        <v>0</v>
      </c>
      <c r="AC19" s="7" t="str">
        <f aca="false">IF(N19&gt;0,R19/N19,"")</f>
        <v/>
      </c>
    </row>
    <row r="20" customFormat="false" ht="15" hidden="false" customHeight="false" outlineLevel="0" collapsed="false">
      <c r="A20" s="2" t="s">
        <v>109</v>
      </c>
      <c r="B20" s="4" t="n">
        <v>11.28</v>
      </c>
      <c r="C20" s="5" t="n">
        <v>54</v>
      </c>
      <c r="D20" s="5"/>
      <c r="E20" s="5" t="n">
        <v>3</v>
      </c>
      <c r="F20" s="5" t="n">
        <v>2</v>
      </c>
      <c r="G20" s="5" t="n">
        <v>0</v>
      </c>
      <c r="H20" s="5" t="n">
        <v>0</v>
      </c>
      <c r="I20" s="5" t="n">
        <v>3</v>
      </c>
      <c r="J20" s="5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 t="str">
        <f aca="false">IF(D20&gt;0,C20/D20,"")</f>
        <v/>
      </c>
      <c r="U20" s="6" t="n">
        <f aca="false">IF(C20&gt;0,F20/C20,"")</f>
        <v>0.037037037037037</v>
      </c>
      <c r="V20" s="4" t="n">
        <f aca="false">IF(C20&gt;0,B20/C20*1000,"")</f>
        <v>208.888888888889</v>
      </c>
      <c r="W20" s="4" t="n">
        <f aca="false">IF(F20&gt;0,B20/F20,"")</f>
        <v>5.64</v>
      </c>
      <c r="X20" s="4" t="str">
        <f aca="false">IF(H20&gt;0,B20/H20,"")</f>
        <v/>
      </c>
      <c r="Y20" s="7" t="n">
        <f aca="false">IF(F20&gt;0,G20/F20,"")</f>
        <v>0</v>
      </c>
      <c r="Z20" s="7" t="str">
        <f aca="false">IF(G20&gt;0,H20/G20,"")</f>
        <v/>
      </c>
      <c r="AA20" s="6" t="n">
        <f aca="false">IF(C20&gt;0,I20/C20,"")</f>
        <v>0.0555555555555556</v>
      </c>
      <c r="AB20" s="7" t="n">
        <f aca="false">IF(C20&gt;0,N20/C20,"")</f>
        <v>0</v>
      </c>
      <c r="AC20" s="7" t="str">
        <f aca="false">IF(N20&gt;0,R20/N20,"")</f>
        <v/>
      </c>
    </row>
    <row r="21" customFormat="false" ht="15" hidden="false" customHeight="false" outlineLevel="0" collapsed="false">
      <c r="A21" s="2" t="s">
        <v>110</v>
      </c>
      <c r="B21" s="4" t="n">
        <v>3.21</v>
      </c>
      <c r="C21" s="5" t="n">
        <v>38</v>
      </c>
      <c r="D21" s="5"/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 t="str">
        <f aca="false">IF(D21&gt;0,C21/D21,"")</f>
        <v/>
      </c>
      <c r="U21" s="6" t="n">
        <f aca="false">IF(C21&gt;0,F21/C21,"")</f>
        <v>0</v>
      </c>
      <c r="V21" s="4" t="n">
        <f aca="false">IF(C21&gt;0,B21/C21*1000,"")</f>
        <v>84.4736842105263</v>
      </c>
      <c r="W21" s="4" t="str">
        <f aca="false">IF(F21&gt;0,B21/F21,"")</f>
        <v/>
      </c>
      <c r="X21" s="4" t="str">
        <f aca="false">IF(H21&gt;0,B21/H21,"")</f>
        <v/>
      </c>
      <c r="Y21" s="7" t="str">
        <f aca="false">IF(F21&gt;0,G21/F21,"")</f>
        <v/>
      </c>
      <c r="Z21" s="7" t="str">
        <f aca="false">IF(G21&gt;0,H21/G21,"")</f>
        <v/>
      </c>
      <c r="AA21" s="6" t="n">
        <f aca="false">IF(C21&gt;0,I21/C21,"")</f>
        <v>0</v>
      </c>
      <c r="AB21" s="7" t="n">
        <f aca="false">IF(C21&gt;0,N21/C21,"")</f>
        <v>0</v>
      </c>
      <c r="AC21" s="7" t="str">
        <f aca="false">IF(N21&gt;0,R21/N21,"")</f>
        <v/>
      </c>
    </row>
    <row r="22" customFormat="false" ht="15" hidden="false" customHeight="false" outlineLevel="0" collapsed="false">
      <c r="A22" s="2" t="s">
        <v>111</v>
      </c>
      <c r="B22" s="4" t="n">
        <v>6.82</v>
      </c>
      <c r="C22" s="5" t="n">
        <v>48</v>
      </c>
      <c r="D22" s="5"/>
      <c r="E22" s="5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 t="str">
        <f aca="false">IF(D22&gt;0,C22/D22,"")</f>
        <v/>
      </c>
      <c r="U22" s="6" t="n">
        <f aca="false">IF(C22&gt;0,F22/C22,"")</f>
        <v>0</v>
      </c>
      <c r="V22" s="4" t="n">
        <f aca="false">IF(C22&gt;0,B22/C22*1000,"")</f>
        <v>142.083333333333</v>
      </c>
      <c r="W22" s="4" t="str">
        <f aca="false">IF(F22&gt;0,B22/F22,"")</f>
        <v/>
      </c>
      <c r="X22" s="4" t="str">
        <f aca="false">IF(H22&gt;0,B22/H22,"")</f>
        <v/>
      </c>
      <c r="Y22" s="7" t="str">
        <f aca="false">IF(F22&gt;0,G22/F22,"")</f>
        <v/>
      </c>
      <c r="Z22" s="7" t="str">
        <f aca="false">IF(G22&gt;0,H22/G22,"")</f>
        <v/>
      </c>
      <c r="AA22" s="6" t="n">
        <f aca="false">IF(C22&gt;0,I22/C22,"")</f>
        <v>0</v>
      </c>
      <c r="AB22" s="7" t="n">
        <f aca="false">IF(C22&gt;0,N22/C22,"")</f>
        <v>0</v>
      </c>
      <c r="AC22" s="7" t="str">
        <f aca="false">IF(N22&gt;0,R22/N22,"")</f>
        <v/>
      </c>
    </row>
    <row r="23" customFormat="false" ht="15" hidden="false" customHeight="false" outlineLevel="0" collapsed="false">
      <c r="A23" s="2" t="s">
        <v>112</v>
      </c>
      <c r="B23" s="4" t="n">
        <v>4.22</v>
      </c>
      <c r="C23" s="5" t="n">
        <v>35</v>
      </c>
      <c r="D23" s="5"/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 t="str">
        <f aca="false">IF(D23&gt;0,C23/D23,"")</f>
        <v/>
      </c>
      <c r="U23" s="6" t="n">
        <f aca="false">IF(C23&gt;0,F23/C23,"")</f>
        <v>0</v>
      </c>
      <c r="V23" s="4" t="n">
        <f aca="false">IF(C23&gt;0,B23/C23*1000,"")</f>
        <v>120.571428571429</v>
      </c>
      <c r="W23" s="4" t="str">
        <f aca="false">IF(F23&gt;0,B23/F23,"")</f>
        <v/>
      </c>
      <c r="X23" s="4" t="str">
        <f aca="false">IF(H23&gt;0,B23/H23,"")</f>
        <v/>
      </c>
      <c r="Y23" s="7" t="str">
        <f aca="false">IF(F23&gt;0,G23/F23,"")</f>
        <v/>
      </c>
      <c r="Z23" s="7" t="str">
        <f aca="false">IF(G23&gt;0,H23/G23,"")</f>
        <v/>
      </c>
      <c r="AA23" s="6" t="n">
        <f aca="false">IF(C23&gt;0,I23/C23,"")</f>
        <v>0</v>
      </c>
      <c r="AB23" s="7" t="n">
        <f aca="false">IF(C23&gt;0,N23/C23,"")</f>
        <v>0</v>
      </c>
      <c r="AC23" s="7" t="str">
        <f aca="false">IF(N23&gt;0,R23/N23,"")</f>
        <v/>
      </c>
    </row>
    <row r="24" customFormat="false" ht="15" hidden="false" customHeight="false" outlineLevel="0" collapsed="false">
      <c r="A24" s="2" t="s">
        <v>113</v>
      </c>
      <c r="B24" s="4" t="n">
        <v>4.07</v>
      </c>
      <c r="C24" s="5" t="n">
        <v>23</v>
      </c>
      <c r="D24" s="5"/>
      <c r="E24" s="5" t="n">
        <v>2</v>
      </c>
      <c r="F24" s="5" t="n">
        <v>1</v>
      </c>
      <c r="G24" s="5" t="n">
        <v>1</v>
      </c>
      <c r="H24" s="5" t="n">
        <v>0</v>
      </c>
      <c r="I24" s="5" t="n">
        <v>2</v>
      </c>
      <c r="J24" s="5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 t="str">
        <f aca="false">IF(D24&gt;0,C24/D24,"")</f>
        <v/>
      </c>
      <c r="U24" s="6" t="n">
        <f aca="false">IF(C24&gt;0,F24/C24,"")</f>
        <v>0.0434782608695652</v>
      </c>
      <c r="V24" s="4" t="n">
        <f aca="false">IF(C24&gt;0,B24/C24*1000,"")</f>
        <v>176.95652173913</v>
      </c>
      <c r="W24" s="4" t="n">
        <f aca="false">IF(F24&gt;0,B24/F24,"")</f>
        <v>4.07</v>
      </c>
      <c r="X24" s="4" t="str">
        <f aca="false">IF(H24&gt;0,B24/H24,"")</f>
        <v/>
      </c>
      <c r="Y24" s="7" t="n">
        <f aca="false">IF(F24&gt;0,G24/F24,"")</f>
        <v>1</v>
      </c>
      <c r="Z24" s="7" t="n">
        <f aca="false">IF(G24&gt;0,H24/G24,"")</f>
        <v>0</v>
      </c>
      <c r="AA24" s="6" t="n">
        <f aca="false">IF(C24&gt;0,I24/C24,"")</f>
        <v>0.0869565217391304</v>
      </c>
      <c r="AB24" s="7" t="n">
        <f aca="false">IF(C24&gt;0,N24/C24,"")</f>
        <v>0</v>
      </c>
      <c r="AC24" s="7" t="str">
        <f aca="false">IF(N24&gt;0,R24/N24,"")</f>
        <v/>
      </c>
    </row>
    <row r="25" customFormat="false" ht="15" hidden="false" customHeight="false" outlineLevel="0" collapsed="false">
      <c r="A25" s="2" t="s">
        <v>114</v>
      </c>
      <c r="B25" s="4" t="n">
        <v>4.39</v>
      </c>
      <c r="C25" s="5" t="n">
        <v>20</v>
      </c>
      <c r="D25" s="5"/>
      <c r="E25" s="5" t="n">
        <v>2</v>
      </c>
      <c r="F25" s="5" t="n">
        <v>1</v>
      </c>
      <c r="G25" s="5" t="n">
        <v>0</v>
      </c>
      <c r="H25" s="5" t="n">
        <v>0</v>
      </c>
      <c r="I25" s="5" t="n">
        <v>2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 t="str">
        <f aca="false">IF(D25&gt;0,C25/D25,"")</f>
        <v/>
      </c>
      <c r="U25" s="6" t="n">
        <f aca="false">IF(C25&gt;0,F25/C25,"")</f>
        <v>0.05</v>
      </c>
      <c r="V25" s="4" t="n">
        <f aca="false">IF(C25&gt;0,B25/C25*1000,"")</f>
        <v>219.5</v>
      </c>
      <c r="W25" s="4" t="n">
        <f aca="false">IF(F25&gt;0,B25/F25,"")</f>
        <v>4.39</v>
      </c>
      <c r="X25" s="4" t="str">
        <f aca="false">IF(H25&gt;0,B25/H25,"")</f>
        <v/>
      </c>
      <c r="Y25" s="7" t="n">
        <f aca="false">IF(F25&gt;0,G25/F25,"")</f>
        <v>0</v>
      </c>
      <c r="Z25" s="7" t="str">
        <f aca="false">IF(G25&gt;0,H25/G25,"")</f>
        <v/>
      </c>
      <c r="AA25" s="6" t="n">
        <f aca="false">IF(C25&gt;0,I25/C25,"")</f>
        <v>0.1</v>
      </c>
      <c r="AB25" s="7" t="n">
        <f aca="false">IF(C25&gt;0,N25/C25,"")</f>
        <v>0</v>
      </c>
      <c r="AC25" s="7" t="str">
        <f aca="false">IF(N25&gt;0,R25/N25,"")</f>
        <v/>
      </c>
    </row>
    <row r="26" customFormat="false" ht="15" hidden="false" customHeight="false" outlineLevel="0" collapsed="false">
      <c r="A26" s="11" t="s">
        <v>43</v>
      </c>
      <c r="B26" s="12" t="n">
        <f aca="false">SUM(B2:B25)</f>
        <v>177.45</v>
      </c>
      <c r="C26" s="13" t="n">
        <f aca="false">SUM(C2:C25)</f>
        <v>1556</v>
      </c>
      <c r="D26" s="13"/>
      <c r="E26" s="13" t="n">
        <f aca="false">SUM(E2:E25)</f>
        <v>37</v>
      </c>
      <c r="F26" s="13" t="n">
        <f aca="false">SUM(F2:F25)</f>
        <v>25</v>
      </c>
      <c r="G26" s="13" t="n">
        <f aca="false">SUM(G2:G25)</f>
        <v>16</v>
      </c>
      <c r="H26" s="13" t="n">
        <f aca="false">SUM(H2:H25)</f>
        <v>1</v>
      </c>
      <c r="I26" s="13" t="n">
        <f aca="false">SUM(I2:I25)</f>
        <v>34</v>
      </c>
      <c r="J26" s="13" t="n">
        <f aca="false">SUM(J2:J25)</f>
        <v>7</v>
      </c>
      <c r="K26" s="13" t="n">
        <f aca="false">SUM(K2:K25)</f>
        <v>1</v>
      </c>
      <c r="L26" s="13" t="n">
        <f aca="false">SUM(L2:L25)</f>
        <v>1</v>
      </c>
      <c r="M26" s="13" t="n">
        <f aca="false">SUM(M2:M25)</f>
        <v>0</v>
      </c>
      <c r="N26" s="13" t="n">
        <f aca="false">SUM(N2:N25)</f>
        <v>0</v>
      </c>
      <c r="O26" s="13" t="n">
        <f aca="false">SUM(O2:O25)</f>
        <v>0</v>
      </c>
      <c r="P26" s="13" t="n">
        <f aca="false">SUM(P2:P25)</f>
        <v>0</v>
      </c>
      <c r="Q26" s="13" t="n">
        <f aca="false">SUM(Q2:Q25)</f>
        <v>0</v>
      </c>
      <c r="R26" s="13" t="n">
        <f aca="false">SUM(R2:R25)</f>
        <v>0</v>
      </c>
      <c r="S26" s="13" t="n">
        <f aca="false">SUM(S2:S25)</f>
        <v>0</v>
      </c>
      <c r="T26" s="14" t="str">
        <f aca="false">IF(D26&gt;0,C26/D26,"")</f>
        <v/>
      </c>
      <c r="U26" s="15" t="n">
        <f aca="false">IF(C26&gt;0,F26/C26,"")</f>
        <v>0.0160668380462725</v>
      </c>
      <c r="V26" s="12" t="n">
        <f aca="false">IF(C26&gt;0,B26/C26*1000,"")</f>
        <v>114.042416452442</v>
      </c>
      <c r="W26" s="12" t="n">
        <f aca="false">IF(F26&gt;0,B26/F26,"")</f>
        <v>7.098</v>
      </c>
      <c r="X26" s="12" t="n">
        <f aca="false">IF(H26&gt;0,B26/H26,"")</f>
        <v>177.45</v>
      </c>
      <c r="Y26" s="16" t="n">
        <f aca="false">IF(F26&gt;0,G26/F26,"")</f>
        <v>0.64</v>
      </c>
      <c r="Z26" s="16" t="n">
        <f aca="false">IF(G26&gt;0,H26/G26,"")</f>
        <v>0.0625</v>
      </c>
      <c r="AA26" s="15" t="n">
        <f aca="false">IF(C26&gt;0,I26/C26,"")</f>
        <v>0.0218508997429306</v>
      </c>
      <c r="AB26" s="16" t="n">
        <f aca="false">IF(C26&gt;0,N26/C26,"")</f>
        <v>0</v>
      </c>
      <c r="AC26" s="16" t="str">
        <f aca="false">IF(N26&gt;0,R26/N26,"")</f>
        <v/>
      </c>
    </row>
    <row r="28" customFormat="false" ht="15" hidden="false" customHeight="false" outlineLevel="0" collapsed="false">
      <c r="A28" s="17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</row>
    <row r="2" customFormat="false" ht="15" hidden="false" customHeight="false" outlineLevel="0" collapsed="false">
      <c r="A2" s="2" t="s">
        <v>42</v>
      </c>
      <c r="B2" s="2" t="s">
        <v>122</v>
      </c>
      <c r="C2" s="2"/>
      <c r="D2" s="2"/>
      <c r="E2" s="2" t="s">
        <v>123</v>
      </c>
      <c r="F2" s="2" t="s">
        <v>124</v>
      </c>
    </row>
    <row r="3" customFormat="false" ht="15" hidden="false" customHeight="false" outlineLevel="0" collapsed="false">
      <c r="A3" s="2" t="s">
        <v>42</v>
      </c>
      <c r="B3" s="2" t="s">
        <v>47</v>
      </c>
      <c r="C3" s="2" t="s">
        <v>125</v>
      </c>
      <c r="D3" s="2" t="s">
        <v>126</v>
      </c>
      <c r="E3" s="2" t="s">
        <v>123</v>
      </c>
      <c r="F3" s="2" t="s">
        <v>127</v>
      </c>
    </row>
    <row r="4" customFormat="false" ht="15" hidden="false" customHeight="false" outlineLevel="0" collapsed="false">
      <c r="A4" s="2" t="s">
        <v>42</v>
      </c>
      <c r="B4" s="2" t="s">
        <v>122</v>
      </c>
      <c r="C4" s="2"/>
      <c r="D4" s="2"/>
      <c r="E4" s="2" t="s">
        <v>123</v>
      </c>
      <c r="F4" s="2" t="s">
        <v>124</v>
      </c>
    </row>
    <row r="5" customFormat="false" ht="15" hidden="false" customHeight="false" outlineLevel="0" collapsed="false">
      <c r="A5" s="2" t="s">
        <v>42</v>
      </c>
      <c r="B5" s="2" t="s">
        <v>122</v>
      </c>
      <c r="C5" s="2"/>
      <c r="D5" s="2"/>
      <c r="E5" s="2" t="s">
        <v>123</v>
      </c>
      <c r="F5" s="2" t="s">
        <v>124</v>
      </c>
    </row>
    <row r="6" customFormat="false" ht="15" hidden="false" customHeight="false" outlineLevel="0" collapsed="false">
      <c r="A6" s="2" t="s">
        <v>128</v>
      </c>
      <c r="B6" s="2" t="s">
        <v>122</v>
      </c>
      <c r="C6" s="2"/>
      <c r="D6" s="2"/>
      <c r="E6" s="2" t="s">
        <v>123</v>
      </c>
      <c r="F6" s="2" t="s">
        <v>124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2" t="s">
        <v>129</v>
      </c>
      <c r="B8" s="2" t="n">
        <f aca="false">COUNTIF(F2:F6,"Calificado")</f>
        <v>0</v>
      </c>
      <c r="C8" s="2"/>
      <c r="D8" s="2"/>
      <c r="E8" s="2"/>
      <c r="F8" s="2"/>
    </row>
    <row r="9" customFormat="false" ht="15" hidden="false" customHeight="false" outlineLevel="0" collapsed="false">
      <c r="A9" s="2" t="s">
        <v>130</v>
      </c>
      <c r="B9" s="2" t="n">
        <f aca="false">COUNTIF(F2:F6,"No calificado")</f>
        <v>1</v>
      </c>
      <c r="C9" s="2"/>
      <c r="D9" s="2"/>
      <c r="E9" s="2"/>
      <c r="F9" s="2"/>
    </row>
    <row r="10" customFormat="false" ht="15" hidden="false" customHeight="false" outlineLevel="0" collapsed="false">
      <c r="A10" s="2" t="s">
        <v>131</v>
      </c>
      <c r="B10" s="7" t="n">
        <f aca="false">IF(B8+B9&gt;0,B9/(B8+B9),"")</f>
        <v>1</v>
      </c>
      <c r="C10" s="2"/>
      <c r="D10" s="2"/>
      <c r="E10" s="2"/>
      <c r="F10" s="2"/>
    </row>
    <row r="11" customFormat="false" ht="15" hidden="false" customHeight="false" outlineLevel="0" collapsed="false">
      <c r="A11" s="2" t="s">
        <v>132</v>
      </c>
      <c r="B11" s="2"/>
      <c r="C11" s="2"/>
      <c r="D11" s="2"/>
      <c r="E11" s="2"/>
      <c r="F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2026-10-26T13:20:18Z</dcterms:created>
  <dc:creator>openpyxl</dc:creator>
  <dc:description/>
  <dc:language>en-US</dc:language>
  <cp:lastModifiedBy/>
  <dcterms:modified xsi:type="dcterms:W3CDTF">2026-10-26T13:20:29Z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