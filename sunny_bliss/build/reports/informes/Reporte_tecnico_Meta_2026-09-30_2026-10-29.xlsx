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Anuncios" sheetId="3" state="visible" r:id="rId3"/>
    <sheet xmlns:r="http://schemas.openxmlformats.org/officeDocument/2006/relationships" name="Edad" sheetId="4" state="visible" r:id="rId4"/>
    <sheet xmlns:r="http://schemas.openxmlformats.org/officeDocument/2006/relationships" name="Género" sheetId="5" state="visible" r:id="rId5"/>
    <sheet xmlns:r="http://schemas.openxmlformats.org/officeDocument/2006/relationships" name="Edad x Género" sheetId="6" state="visible" r:id="rId6"/>
    <sheet xmlns:r="http://schemas.openxmlformats.org/officeDocument/2006/relationships" name="Estado" sheetId="7" state="visible" r:id="rId7"/>
    <sheet xmlns:r="http://schemas.openxmlformats.org/officeDocument/2006/relationships" name="Placement" sheetId="8" state="visible" r:id="rId8"/>
    <sheet xmlns:r="http://schemas.openxmlformats.org/officeDocument/2006/relationships" name="Dispositivo" sheetId="9" state="visible" r:id="rId9"/>
    <sheet xmlns:r="http://schemas.openxmlformats.org/officeDocument/2006/relationships" name="Hor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6B6680"/>
    </font>
    <font>
      <name val="Arial"/>
      <b val="1"/>
      <color rgb="003B1C78"/>
      <sz val="14"/>
    </font>
  </fonts>
  <fills count="4">
    <fill>
      <patternFill/>
    </fill>
    <fill>
      <patternFill patternType="gray125"/>
    </fill>
    <fill>
      <patternFill patternType="solid">
        <fgColor rgb="003B1C78"/>
      </patternFill>
    </fill>
    <fill>
      <patternFill patternType="solid">
        <fgColor rgb="00F3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2" fontId="2" fillId="3" borderId="0" pivotButton="0" quotePrefix="0" xfId="0"/>
    <xf numFmtId="10" fontId="2" fillId="3" borderId="0" pivotButton="0" quotePrefix="0" xfId="0"/>
    <xf numFmtId="165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Reporte técnico · Meta Ads · Sunny Bliss</t>
        </is>
      </c>
    </row>
    <row r="2">
      <c r="A2" s="2" t="inlineStr">
        <is>
          <t>Periodo: 2026-09-30 a 2026-10-29 · cuenta act_406803358900425</t>
        </is>
      </c>
      <c r="B2" s="2" t="n"/>
    </row>
    <row r="3">
      <c r="A3" s="2" t="n"/>
      <c r="B3" s="2" t="n"/>
    </row>
    <row r="4">
      <c r="A4" s="3" t="inlineStr">
        <is>
          <t>Métrica</t>
        </is>
      </c>
      <c r="B4" s="3" t="inlineStr">
        <is>
          <t>Valor</t>
        </is>
      </c>
    </row>
    <row r="5">
      <c r="A5" s="2" t="inlineStr">
        <is>
          <t>Gasto (USD)</t>
        </is>
      </c>
      <c r="B5" s="4">
        <f>Diario!B32</f>
        <v/>
      </c>
    </row>
    <row r="6">
      <c r="A6" s="2" t="inlineStr">
        <is>
          <t>Impresiones</t>
        </is>
      </c>
      <c r="B6" s="5">
        <f>Diario!C32</f>
        <v/>
      </c>
    </row>
    <row r="7">
      <c r="A7" s="2" t="inlineStr">
        <is>
          <t>Clics en enlace</t>
        </is>
      </c>
      <c r="B7" s="5">
        <f>Diario!F32</f>
        <v/>
      </c>
    </row>
    <row r="8">
      <c r="A8" s="2" t="inlineStr">
        <is>
          <t>Landing page views</t>
        </is>
      </c>
      <c r="B8" s="5">
        <f>Diario!G32</f>
        <v/>
      </c>
    </row>
    <row r="9">
      <c r="A9" s="2" t="inlineStr">
        <is>
          <t>Leads (Meta)</t>
        </is>
      </c>
      <c r="B9" s="5">
        <f>Diario!H32</f>
        <v/>
      </c>
    </row>
    <row r="10">
      <c r="A10" s="2" t="inlineStr">
        <is>
          <t>Interacciones</t>
        </is>
      </c>
      <c r="B10" s="5">
        <f>Diario!I32</f>
        <v/>
      </c>
    </row>
    <row r="11">
      <c r="A11" s="2" t="inlineStr">
        <is>
          <t>Reproducciones 3 s</t>
        </is>
      </c>
      <c r="B11" s="5">
        <f>Diario!N32</f>
        <v/>
      </c>
    </row>
    <row r="12">
      <c r="A12" s="2" t="inlineStr">
        <is>
          <t>ThruPlay</t>
        </is>
      </c>
      <c r="B12" s="5">
        <f>Diario!S32</f>
        <v/>
      </c>
    </row>
    <row r="13">
      <c r="A13" s="2" t="inlineStr">
        <is>
          <t>CTR enlace</t>
        </is>
      </c>
      <c r="B13" s="6">
        <f>Diario!U32</f>
        <v/>
      </c>
    </row>
    <row r="14">
      <c r="A14" s="2" t="inlineStr">
        <is>
          <t>CPM (USD)</t>
        </is>
      </c>
      <c r="B14" s="4">
        <f>Diario!V32</f>
        <v/>
      </c>
    </row>
    <row r="15">
      <c r="A15" s="2" t="inlineStr">
        <is>
          <t>CPC enlace (USD)</t>
        </is>
      </c>
      <c r="B15" s="4">
        <f>Diario!W32</f>
        <v/>
      </c>
    </row>
    <row r="16">
      <c r="A16" s="2" t="inlineStr">
        <is>
          <t>CPL Meta (USD)</t>
        </is>
      </c>
      <c r="B16" s="4">
        <f>Diario!X32</f>
        <v/>
      </c>
    </row>
    <row r="17">
      <c r="A17" s="2" t="inlineStr">
        <is>
          <t>Clic → LPV</t>
        </is>
      </c>
      <c r="B17" s="7">
        <f>Diario!Y32</f>
        <v/>
      </c>
    </row>
    <row r="18">
      <c r="A18" s="2" t="inlineStr">
        <is>
          <t>LPV → lead</t>
        </is>
      </c>
      <c r="B18" s="7">
        <f>Diario!Z32</f>
        <v/>
      </c>
    </row>
    <row r="19">
      <c r="A19" s="2" t="inlineStr">
        <is>
          <t>Hook rate (3 s / imp.)</t>
        </is>
      </c>
      <c r="B19" s="7">
        <f>Diario!AB32</f>
        <v/>
      </c>
    </row>
    <row r="20">
      <c r="A20" s="2" t="inlineStr">
        <is>
          <t>Retención 100% / 3 s</t>
        </is>
      </c>
      <c r="B20" s="7">
        <f>Diario!AC32</f>
        <v/>
      </c>
    </row>
    <row r="21">
      <c r="A21" s="2" t="inlineStr">
        <is>
          <t>Alcance (personas únicas)</t>
        </is>
      </c>
      <c r="B21" s="5" t="n">
        <v>40443</v>
      </c>
    </row>
    <row r="22">
      <c r="A22" s="2" t="inlineStr">
        <is>
          <t>Frecuencia</t>
        </is>
      </c>
      <c r="B22" s="8">
        <f>IF(B21&gt;0,B6/B21,"")</f>
        <v/>
      </c>
    </row>
    <row r="23">
      <c r="A23" s="2" t="n"/>
      <c r="B23" s="2" t="n"/>
    </row>
    <row r="24">
      <c r="A24" s="9" t="inlineStr">
        <is>
          <t>Notas</t>
        </is>
      </c>
      <c r="B24" s="2" t="n"/>
    </row>
    <row r="25">
      <c r="A25" s="2" t="inlineStr">
        <is>
          <t>Fuente: Meta Marketing API (atribución por defecto de la cuenta). Pueden variar levemente frente a Ads Manager.</t>
        </is>
      </c>
      <c r="B25" s="2" t="n"/>
    </row>
    <row r="26">
      <c r="A26" s="2" t="inlineStr">
        <is>
          <t>Tasas calculadas con fórmulas en cada hoja: CTR = clics en enlace / impresiones; CPL Meta = gasto / leads de Meta.</t>
        </is>
      </c>
      <c r="B26" s="2" t="n"/>
    </row>
    <row r="27">
      <c r="A27" s="2" t="inlineStr">
        <is>
          <t>Lead (Meta) cuenta todo formulario enviado; la calidad real está en la hoja 'Calidad de leads' (GHL).</t>
        </is>
      </c>
      <c r="B27" s="2" t="n"/>
    </row>
    <row r="28">
      <c r="A28" s="2" t="inlineStr">
        <is>
          <t>Alcance no es sumable entre segmentos; el total de cada hoja lo omite.</t>
        </is>
      </c>
      <c r="B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Fecha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2026-09-30</t>
        </is>
      </c>
      <c r="B2" s="4" t="n">
        <v>136.19</v>
      </c>
      <c r="C2" s="5" t="n">
        <v>2991</v>
      </c>
      <c r="D2" s="5" t="n">
        <v>2140</v>
      </c>
      <c r="E2" s="5" t="n">
        <v>76</v>
      </c>
      <c r="F2" s="5" t="n">
        <v>34</v>
      </c>
      <c r="G2" s="5" t="n">
        <v>0</v>
      </c>
      <c r="H2" s="5" t="n">
        <v>12</v>
      </c>
      <c r="I2" s="5" t="n">
        <v>234</v>
      </c>
      <c r="J2" s="5" t="n">
        <v>7</v>
      </c>
      <c r="K2" s="5" t="n">
        <v>0</v>
      </c>
      <c r="L2" s="5" t="n">
        <v>0</v>
      </c>
      <c r="M2" s="5" t="n">
        <v>0</v>
      </c>
      <c r="N2" s="5" t="n">
        <v>193</v>
      </c>
      <c r="O2" s="5" t="n">
        <v>151</v>
      </c>
      <c r="P2" s="5" t="n">
        <v>99</v>
      </c>
      <c r="Q2" s="5" t="n">
        <v>69</v>
      </c>
      <c r="R2" s="5" t="n">
        <v>44</v>
      </c>
      <c r="S2" s="5" t="n">
        <v>53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2026-10-01</t>
        </is>
      </c>
      <c r="B3" s="4" t="n">
        <v>152.03</v>
      </c>
      <c r="C3" s="5" t="n">
        <v>6279</v>
      </c>
      <c r="D3" s="5" t="n">
        <v>5104</v>
      </c>
      <c r="E3" s="5" t="n">
        <v>94</v>
      </c>
      <c r="F3" s="5" t="n">
        <v>72</v>
      </c>
      <c r="G3" s="5" t="n">
        <v>1</v>
      </c>
      <c r="H3" s="5" t="n">
        <v>8</v>
      </c>
      <c r="I3" s="5" t="n">
        <v>182</v>
      </c>
      <c r="J3" s="5" t="n">
        <v>2</v>
      </c>
      <c r="K3" s="5" t="n">
        <v>1</v>
      </c>
      <c r="L3" s="5" t="n">
        <v>0</v>
      </c>
      <c r="M3" s="5" t="n">
        <v>1</v>
      </c>
      <c r="N3" s="5" t="n">
        <v>106</v>
      </c>
      <c r="O3" s="5" t="n">
        <v>88</v>
      </c>
      <c r="P3" s="5" t="n">
        <v>60</v>
      </c>
      <c r="Q3" s="5" t="n">
        <v>34</v>
      </c>
      <c r="R3" s="5" t="n">
        <v>22</v>
      </c>
      <c r="S3" s="5" t="n">
        <v>29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2026-10-02</t>
        </is>
      </c>
      <c r="B4" s="4" t="n">
        <v>116.69</v>
      </c>
      <c r="C4" s="5" t="n">
        <v>4063</v>
      </c>
      <c r="D4" s="5" t="n">
        <v>3429</v>
      </c>
      <c r="E4" s="5" t="n">
        <v>112</v>
      </c>
      <c r="F4" s="5" t="n">
        <v>70</v>
      </c>
      <c r="G4" s="5" t="n">
        <v>16</v>
      </c>
      <c r="H4" s="5" t="n">
        <v>11</v>
      </c>
      <c r="I4" s="5" t="n">
        <v>183</v>
      </c>
      <c r="J4" s="5" t="n">
        <v>5</v>
      </c>
      <c r="K4" s="5" t="n">
        <v>1</v>
      </c>
      <c r="L4" s="5" t="n">
        <v>1</v>
      </c>
      <c r="M4" s="5" t="n">
        <v>0</v>
      </c>
      <c r="N4" s="5" t="n">
        <v>106</v>
      </c>
      <c r="O4" s="5" t="n">
        <v>84</v>
      </c>
      <c r="P4" s="5" t="n">
        <v>51</v>
      </c>
      <c r="Q4" s="5" t="n">
        <v>27</v>
      </c>
      <c r="R4" s="5" t="n">
        <v>13</v>
      </c>
      <c r="S4" s="5" t="n">
        <v>18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2" t="inlineStr">
        <is>
          <t>2026-10-03</t>
        </is>
      </c>
      <c r="B5" s="4" t="n">
        <v>108.09</v>
      </c>
      <c r="C5" s="5" t="n">
        <v>3550</v>
      </c>
      <c r="D5" s="5" t="n">
        <v>2417</v>
      </c>
      <c r="E5" s="5" t="n">
        <v>87</v>
      </c>
      <c r="F5" s="5" t="n">
        <v>58</v>
      </c>
      <c r="G5" s="5" t="n">
        <v>35</v>
      </c>
      <c r="H5" s="5" t="n">
        <v>5</v>
      </c>
      <c r="I5" s="5" t="n">
        <v>122</v>
      </c>
      <c r="J5" s="5" t="n">
        <v>3</v>
      </c>
      <c r="K5" s="5" t="n">
        <v>2</v>
      </c>
      <c r="L5" s="5" t="n">
        <v>1</v>
      </c>
      <c r="M5" s="5" t="n">
        <v>1</v>
      </c>
      <c r="N5" s="5" t="n">
        <v>57</v>
      </c>
      <c r="O5" s="5" t="n">
        <v>38</v>
      </c>
      <c r="P5" s="5" t="n">
        <v>26</v>
      </c>
      <c r="Q5" s="5" t="n">
        <v>18</v>
      </c>
      <c r="R5" s="5" t="n">
        <v>12</v>
      </c>
      <c r="S5" s="5" t="n">
        <v>18</v>
      </c>
      <c r="T5" s="8">
        <f>IF(D5&gt;0,C5/D5,"")</f>
        <v/>
      </c>
      <c r="U5" s="6">
        <f>IF(C5&gt;0,F5/C5,"")</f>
        <v/>
      </c>
      <c r="V5" s="4">
        <f>IF(C5&gt;0,B5/C5*1000,"")</f>
        <v/>
      </c>
      <c r="W5" s="4">
        <f>IF(F5&gt;0,B5/F5,"")</f>
        <v/>
      </c>
      <c r="X5" s="4">
        <f>IF(H5&gt;0,B5/H5,"")</f>
        <v/>
      </c>
      <c r="Y5" s="7">
        <f>IF(F5&gt;0,G5/F5,"")</f>
        <v/>
      </c>
      <c r="Z5" s="7">
        <f>IF(G5&gt;0,H5/G5,"")</f>
        <v/>
      </c>
      <c r="AA5" s="6">
        <f>IF(C5&gt;0,I5/C5,"")</f>
        <v/>
      </c>
      <c r="AB5" s="7">
        <f>IF(C5&gt;0,N5/C5,"")</f>
        <v/>
      </c>
      <c r="AC5" s="7">
        <f>IF(N5&gt;0,R5/N5,"")</f>
        <v/>
      </c>
    </row>
    <row r="6">
      <c r="A6" s="2" t="inlineStr">
        <is>
          <t>2026-10-04</t>
        </is>
      </c>
      <c r="B6" s="4" t="n">
        <v>164.01</v>
      </c>
      <c r="C6" s="5" t="n">
        <v>5621</v>
      </c>
      <c r="D6" s="5" t="n">
        <v>3609</v>
      </c>
      <c r="E6" s="5" t="n">
        <v>175</v>
      </c>
      <c r="F6" s="5" t="n">
        <v>138</v>
      </c>
      <c r="G6" s="5" t="n">
        <v>73</v>
      </c>
      <c r="H6" s="5" t="n">
        <v>10</v>
      </c>
      <c r="I6" s="5" t="n">
        <v>205</v>
      </c>
      <c r="J6" s="5" t="n">
        <v>5</v>
      </c>
      <c r="K6" s="5" t="n">
        <v>0</v>
      </c>
      <c r="L6" s="5" t="n">
        <v>1</v>
      </c>
      <c r="M6" s="5" t="n">
        <v>0</v>
      </c>
      <c r="N6" s="5" t="n">
        <v>61</v>
      </c>
      <c r="O6" s="5" t="n">
        <v>36</v>
      </c>
      <c r="P6" s="5" t="n">
        <v>30</v>
      </c>
      <c r="Q6" s="5" t="n">
        <v>11</v>
      </c>
      <c r="R6" s="5" t="n">
        <v>7</v>
      </c>
      <c r="S6" s="5" t="n">
        <v>13</v>
      </c>
      <c r="T6" s="8">
        <f>IF(D6&gt;0,C6/D6,"")</f>
        <v/>
      </c>
      <c r="U6" s="6">
        <f>IF(C6&gt;0,F6/C6,"")</f>
        <v/>
      </c>
      <c r="V6" s="4">
        <f>IF(C6&gt;0,B6/C6*1000,"")</f>
        <v/>
      </c>
      <c r="W6" s="4">
        <f>IF(F6&gt;0,B6/F6,"")</f>
        <v/>
      </c>
      <c r="X6" s="4">
        <f>IF(H6&gt;0,B6/H6,"")</f>
        <v/>
      </c>
      <c r="Y6" s="7">
        <f>IF(F6&gt;0,G6/F6,"")</f>
        <v/>
      </c>
      <c r="Z6" s="7">
        <f>IF(G6&gt;0,H6/G6,"")</f>
        <v/>
      </c>
      <c r="AA6" s="6">
        <f>IF(C6&gt;0,I6/C6,"")</f>
        <v/>
      </c>
      <c r="AB6" s="7">
        <f>IF(C6&gt;0,N6/C6,"")</f>
        <v/>
      </c>
      <c r="AC6" s="7">
        <f>IF(N6&gt;0,R6/N6,"")</f>
        <v/>
      </c>
    </row>
    <row r="7">
      <c r="A7" s="2" t="inlineStr">
        <is>
          <t>2026-10-05</t>
        </is>
      </c>
      <c r="B7" s="4" t="n">
        <v>137.59</v>
      </c>
      <c r="C7" s="5" t="n">
        <v>3993</v>
      </c>
      <c r="D7" s="5" t="n">
        <v>2423</v>
      </c>
      <c r="E7" s="5" t="n">
        <v>89</v>
      </c>
      <c r="F7" s="5" t="n">
        <v>50</v>
      </c>
      <c r="G7" s="5" t="n">
        <v>19</v>
      </c>
      <c r="H7" s="5" t="n">
        <v>9</v>
      </c>
      <c r="I7" s="5" t="n">
        <v>180</v>
      </c>
      <c r="J7" s="5" t="n">
        <v>9</v>
      </c>
      <c r="K7" s="5" t="n">
        <v>0</v>
      </c>
      <c r="L7" s="5" t="n">
        <v>1</v>
      </c>
      <c r="M7" s="5" t="n">
        <v>2</v>
      </c>
      <c r="N7" s="5" t="n">
        <v>118</v>
      </c>
      <c r="O7" s="5" t="n">
        <v>87</v>
      </c>
      <c r="P7" s="5" t="n">
        <v>65</v>
      </c>
      <c r="Q7" s="5" t="n">
        <v>35</v>
      </c>
      <c r="R7" s="5" t="n">
        <v>23</v>
      </c>
      <c r="S7" s="5" t="n">
        <v>27</v>
      </c>
      <c r="T7" s="8">
        <f>IF(D7&gt;0,C7/D7,"")</f>
        <v/>
      </c>
      <c r="U7" s="6">
        <f>IF(C7&gt;0,F7/C7,"")</f>
        <v/>
      </c>
      <c r="V7" s="4">
        <f>IF(C7&gt;0,B7/C7*1000,"")</f>
        <v/>
      </c>
      <c r="W7" s="4">
        <f>IF(F7&gt;0,B7/F7,"")</f>
        <v/>
      </c>
      <c r="X7" s="4">
        <f>IF(H7&gt;0,B7/H7,"")</f>
        <v/>
      </c>
      <c r="Y7" s="7">
        <f>IF(F7&gt;0,G7/F7,"")</f>
        <v/>
      </c>
      <c r="Z7" s="7">
        <f>IF(G7&gt;0,H7/G7,"")</f>
        <v/>
      </c>
      <c r="AA7" s="6">
        <f>IF(C7&gt;0,I7/C7,"")</f>
        <v/>
      </c>
      <c r="AB7" s="7">
        <f>IF(C7&gt;0,N7/C7,"")</f>
        <v/>
      </c>
      <c r="AC7" s="7">
        <f>IF(N7&gt;0,R7/N7,"")</f>
        <v/>
      </c>
    </row>
    <row r="8">
      <c r="A8" s="2" t="inlineStr">
        <is>
          <t>2026-10-06</t>
        </is>
      </c>
      <c r="B8" s="4" t="n">
        <v>125.93</v>
      </c>
      <c r="C8" s="5" t="n">
        <v>2556</v>
      </c>
      <c r="D8" s="5" t="n">
        <v>1971</v>
      </c>
      <c r="E8" s="5" t="n">
        <v>69</v>
      </c>
      <c r="F8" s="5" t="n">
        <v>46</v>
      </c>
      <c r="G8" s="5" t="n">
        <v>18</v>
      </c>
      <c r="H8" s="5" t="n">
        <v>3</v>
      </c>
      <c r="I8" s="5" t="n">
        <v>296</v>
      </c>
      <c r="J8" s="5" t="n">
        <v>1</v>
      </c>
      <c r="K8" s="5" t="n">
        <v>0</v>
      </c>
      <c r="L8" s="5" t="n">
        <v>1</v>
      </c>
      <c r="M8" s="5" t="n">
        <v>1</v>
      </c>
      <c r="N8" s="5" t="n">
        <v>247</v>
      </c>
      <c r="O8" s="5" t="n">
        <v>207</v>
      </c>
      <c r="P8" s="5" t="n">
        <v>111</v>
      </c>
      <c r="Q8" s="5" t="n">
        <v>57</v>
      </c>
      <c r="R8" s="5" t="n">
        <v>32</v>
      </c>
      <c r="S8" s="5" t="n">
        <v>36</v>
      </c>
      <c r="T8" s="8">
        <f>IF(D8&gt;0,C8/D8,"")</f>
        <v/>
      </c>
      <c r="U8" s="6">
        <f>IF(C8&gt;0,F8/C8,"")</f>
        <v/>
      </c>
      <c r="V8" s="4">
        <f>IF(C8&gt;0,B8/C8*1000,"")</f>
        <v/>
      </c>
      <c r="W8" s="4">
        <f>IF(F8&gt;0,B8/F8,"")</f>
        <v/>
      </c>
      <c r="X8" s="4">
        <f>IF(H8&gt;0,B8/H8,"")</f>
        <v/>
      </c>
      <c r="Y8" s="7">
        <f>IF(F8&gt;0,G8/F8,"")</f>
        <v/>
      </c>
      <c r="Z8" s="7">
        <f>IF(G8&gt;0,H8/G8,"")</f>
        <v/>
      </c>
      <c r="AA8" s="6">
        <f>IF(C8&gt;0,I8/C8,"")</f>
        <v/>
      </c>
      <c r="AB8" s="7">
        <f>IF(C8&gt;0,N8/C8,"")</f>
        <v/>
      </c>
      <c r="AC8" s="7">
        <f>IF(N8&gt;0,R8/N8,"")</f>
        <v/>
      </c>
    </row>
    <row r="9">
      <c r="A9" s="2" t="inlineStr">
        <is>
          <t>2026-10-07</t>
        </is>
      </c>
      <c r="B9" s="4" t="n">
        <v>108.92</v>
      </c>
      <c r="C9" s="5" t="n">
        <v>5114</v>
      </c>
      <c r="D9" s="5" t="n">
        <v>2482</v>
      </c>
      <c r="E9" s="5" t="n">
        <v>80</v>
      </c>
      <c r="F9" s="5" t="n">
        <v>58</v>
      </c>
      <c r="G9" s="5" t="n">
        <v>19</v>
      </c>
      <c r="H9" s="5" t="n">
        <v>6</v>
      </c>
      <c r="I9" s="5" t="n">
        <v>208</v>
      </c>
      <c r="J9" s="5" t="n">
        <v>3</v>
      </c>
      <c r="K9" s="5" t="n">
        <v>0</v>
      </c>
      <c r="L9" s="5" t="n">
        <v>1</v>
      </c>
      <c r="M9" s="5" t="n">
        <v>1</v>
      </c>
      <c r="N9" s="5" t="n">
        <v>145</v>
      </c>
      <c r="O9" s="5" t="n">
        <v>120</v>
      </c>
      <c r="P9" s="5" t="n">
        <v>60</v>
      </c>
      <c r="Q9" s="5" t="n">
        <v>29</v>
      </c>
      <c r="R9" s="5" t="n">
        <v>16</v>
      </c>
      <c r="S9" s="5" t="n">
        <v>18</v>
      </c>
      <c r="T9" s="8">
        <f>IF(D9&gt;0,C9/D9,"")</f>
        <v/>
      </c>
      <c r="U9" s="6">
        <f>IF(C9&gt;0,F9/C9,"")</f>
        <v/>
      </c>
      <c r="V9" s="4">
        <f>IF(C9&gt;0,B9/C9*1000,"")</f>
        <v/>
      </c>
      <c r="W9" s="4">
        <f>IF(F9&gt;0,B9/F9,"")</f>
        <v/>
      </c>
      <c r="X9" s="4">
        <f>IF(H9&gt;0,B9/H9,"")</f>
        <v/>
      </c>
      <c r="Y9" s="7">
        <f>IF(F9&gt;0,G9/F9,"")</f>
        <v/>
      </c>
      <c r="Z9" s="7">
        <f>IF(G9&gt;0,H9/G9,"")</f>
        <v/>
      </c>
      <c r="AA9" s="6">
        <f>IF(C9&gt;0,I9/C9,"")</f>
        <v/>
      </c>
      <c r="AB9" s="7">
        <f>IF(C9&gt;0,N9/C9,"")</f>
        <v/>
      </c>
      <c r="AC9" s="7">
        <f>IF(N9&gt;0,R9/N9,"")</f>
        <v/>
      </c>
    </row>
    <row r="10">
      <c r="A10" s="2" t="inlineStr">
        <is>
          <t>2026-10-08</t>
        </is>
      </c>
      <c r="B10" s="4" t="n">
        <v>137.14</v>
      </c>
      <c r="C10" s="5" t="n">
        <v>4853</v>
      </c>
      <c r="D10" s="5" t="n">
        <v>3580</v>
      </c>
      <c r="E10" s="5" t="n">
        <v>238</v>
      </c>
      <c r="F10" s="5" t="n">
        <v>113</v>
      </c>
      <c r="G10" s="5" t="n">
        <v>17</v>
      </c>
      <c r="H10" s="5" t="n">
        <v>67</v>
      </c>
      <c r="I10" s="5" t="n">
        <v>196</v>
      </c>
      <c r="J10" s="5" t="n">
        <v>7</v>
      </c>
      <c r="K10" s="5" t="n">
        <v>1</v>
      </c>
      <c r="L10" s="5" t="n">
        <v>4</v>
      </c>
      <c r="M10" s="5" t="n">
        <v>1</v>
      </c>
      <c r="N10" s="5" t="n">
        <v>70</v>
      </c>
      <c r="O10" s="5" t="n">
        <v>47</v>
      </c>
      <c r="P10" s="5" t="n">
        <v>28</v>
      </c>
      <c r="Q10" s="5" t="n">
        <v>20</v>
      </c>
      <c r="R10" s="5" t="n">
        <v>9</v>
      </c>
      <c r="S10" s="5" t="n">
        <v>15</v>
      </c>
      <c r="T10" s="8">
        <f>IF(D10&gt;0,C10/D10,"")</f>
        <v/>
      </c>
      <c r="U10" s="6">
        <f>IF(C10&gt;0,F10/C10,"")</f>
        <v/>
      </c>
      <c r="V10" s="4">
        <f>IF(C10&gt;0,B10/C10*1000,"")</f>
        <v/>
      </c>
      <c r="W10" s="4">
        <f>IF(F10&gt;0,B10/F10,"")</f>
        <v/>
      </c>
      <c r="X10" s="4">
        <f>IF(H10&gt;0,B10/H10,"")</f>
        <v/>
      </c>
      <c r="Y10" s="7">
        <f>IF(F10&gt;0,G10/F10,"")</f>
        <v/>
      </c>
      <c r="Z10" s="7">
        <f>IF(G10&gt;0,H10/G10,"")</f>
        <v/>
      </c>
      <c r="AA10" s="6">
        <f>IF(C10&gt;0,I10/C10,"")</f>
        <v/>
      </c>
      <c r="AB10" s="7">
        <f>IF(C10&gt;0,N10/C10,"")</f>
        <v/>
      </c>
      <c r="AC10" s="7">
        <f>IF(N10&gt;0,R10/N10,"")</f>
        <v/>
      </c>
    </row>
    <row r="11">
      <c r="A11" s="2" t="inlineStr">
        <is>
          <t>2026-10-09</t>
        </is>
      </c>
      <c r="B11" s="4" t="n">
        <v>132.22</v>
      </c>
      <c r="C11" s="5" t="n">
        <v>6037</v>
      </c>
      <c r="D11" s="5" t="n">
        <v>4613</v>
      </c>
      <c r="E11" s="5" t="n">
        <v>298</v>
      </c>
      <c r="F11" s="5" t="n">
        <v>128</v>
      </c>
      <c r="G11" s="5" t="n">
        <v>6</v>
      </c>
      <c r="H11" s="5" t="n">
        <v>76</v>
      </c>
      <c r="I11" s="5" t="n">
        <v>214</v>
      </c>
      <c r="J11" s="5" t="n">
        <v>14</v>
      </c>
      <c r="K11" s="5" t="n">
        <v>0</v>
      </c>
      <c r="L11" s="5" t="n">
        <v>1</v>
      </c>
      <c r="M11" s="5" t="n">
        <v>5</v>
      </c>
      <c r="N11" s="5" t="n">
        <v>66</v>
      </c>
      <c r="O11" s="5" t="n">
        <v>36</v>
      </c>
      <c r="P11" s="5" t="n">
        <v>21</v>
      </c>
      <c r="Q11" s="5" t="n">
        <v>9</v>
      </c>
      <c r="R11" s="5" t="n">
        <v>8</v>
      </c>
      <c r="S11" s="5" t="n">
        <v>12</v>
      </c>
      <c r="T11" s="8">
        <f>IF(D11&gt;0,C11/D11,"")</f>
        <v/>
      </c>
      <c r="U11" s="6">
        <f>IF(C11&gt;0,F11/C11,"")</f>
        <v/>
      </c>
      <c r="V11" s="4">
        <f>IF(C11&gt;0,B11/C11*1000,"")</f>
        <v/>
      </c>
      <c r="W11" s="4">
        <f>IF(F11&gt;0,B11/F11,"")</f>
        <v/>
      </c>
      <c r="X11" s="4">
        <f>IF(H11&gt;0,B11/H11,"")</f>
        <v/>
      </c>
      <c r="Y11" s="7">
        <f>IF(F11&gt;0,G11/F11,"")</f>
        <v/>
      </c>
      <c r="Z11" s="7">
        <f>IF(G11&gt;0,H11/G11,"")</f>
        <v/>
      </c>
      <c r="AA11" s="6">
        <f>IF(C11&gt;0,I11/C11,"")</f>
        <v/>
      </c>
      <c r="AB11" s="7">
        <f>IF(C11&gt;0,N11/C11,"")</f>
        <v/>
      </c>
      <c r="AC11" s="7">
        <f>IF(N11&gt;0,R11/N11,"")</f>
        <v/>
      </c>
    </row>
    <row r="12">
      <c r="A12" s="2" t="inlineStr">
        <is>
          <t>2026-10-10</t>
        </is>
      </c>
      <c r="B12" s="4" t="n">
        <v>98.76000000000001</v>
      </c>
      <c r="C12" s="5" t="n">
        <v>2598</v>
      </c>
      <c r="D12" s="5" t="n">
        <v>2114</v>
      </c>
      <c r="E12" s="5" t="n">
        <v>55</v>
      </c>
      <c r="F12" s="5" t="n">
        <v>26</v>
      </c>
      <c r="G12" s="5" t="n">
        <v>7</v>
      </c>
      <c r="H12" s="5" t="n">
        <v>8</v>
      </c>
      <c r="I12" s="5" t="n">
        <v>96</v>
      </c>
      <c r="J12" s="5" t="n">
        <v>0</v>
      </c>
      <c r="K12" s="5" t="n">
        <v>0</v>
      </c>
      <c r="L12" s="5" t="n">
        <v>1</v>
      </c>
      <c r="M12" s="5" t="n">
        <v>1</v>
      </c>
      <c r="N12" s="5" t="n">
        <v>68</v>
      </c>
      <c r="O12" s="5" t="n">
        <v>51</v>
      </c>
      <c r="P12" s="5" t="n">
        <v>35</v>
      </c>
      <c r="Q12" s="5" t="n">
        <v>21</v>
      </c>
      <c r="R12" s="5" t="n">
        <v>11</v>
      </c>
      <c r="S12" s="5" t="n">
        <v>28</v>
      </c>
      <c r="T12" s="8">
        <f>IF(D12&gt;0,C12/D12,"")</f>
        <v/>
      </c>
      <c r="U12" s="6">
        <f>IF(C12&gt;0,F12/C12,"")</f>
        <v/>
      </c>
      <c r="V12" s="4">
        <f>IF(C12&gt;0,B12/C12*1000,"")</f>
        <v/>
      </c>
      <c r="W12" s="4">
        <f>IF(F12&gt;0,B12/F12,"")</f>
        <v/>
      </c>
      <c r="X12" s="4">
        <f>IF(H12&gt;0,B12/H12,"")</f>
        <v/>
      </c>
      <c r="Y12" s="7">
        <f>IF(F12&gt;0,G12/F12,"")</f>
        <v/>
      </c>
      <c r="Z12" s="7">
        <f>IF(G12&gt;0,H12/G12,"")</f>
        <v/>
      </c>
      <c r="AA12" s="6">
        <f>IF(C12&gt;0,I12/C12,"")</f>
        <v/>
      </c>
      <c r="AB12" s="7">
        <f>IF(C12&gt;0,N12/C12,"")</f>
        <v/>
      </c>
      <c r="AC12" s="7">
        <f>IF(N12&gt;0,R12/N12,"")</f>
        <v/>
      </c>
    </row>
    <row r="13">
      <c r="A13" s="2" t="inlineStr">
        <is>
          <t>2026-10-11</t>
        </is>
      </c>
      <c r="B13" s="4" t="n">
        <v>134.37</v>
      </c>
      <c r="C13" s="5" t="n">
        <v>2645</v>
      </c>
      <c r="D13" s="5" t="n">
        <v>2042</v>
      </c>
      <c r="E13" s="5" t="n">
        <v>69</v>
      </c>
      <c r="F13" s="5" t="n">
        <v>31</v>
      </c>
      <c r="G13" s="5" t="n">
        <v>9</v>
      </c>
      <c r="H13" s="5" t="n">
        <v>6</v>
      </c>
      <c r="I13" s="5" t="n">
        <v>111</v>
      </c>
      <c r="J13" s="5" t="n">
        <v>5</v>
      </c>
      <c r="K13" s="5" t="n">
        <v>0</v>
      </c>
      <c r="L13" s="5" t="n">
        <v>0</v>
      </c>
      <c r="M13" s="5" t="n">
        <v>1</v>
      </c>
      <c r="N13" s="5" t="n">
        <v>74</v>
      </c>
      <c r="O13" s="5" t="n">
        <v>50</v>
      </c>
      <c r="P13" s="5" t="n">
        <v>34</v>
      </c>
      <c r="Q13" s="5" t="n">
        <v>13</v>
      </c>
      <c r="R13" s="5" t="n">
        <v>5</v>
      </c>
      <c r="S13" s="5" t="n">
        <v>13</v>
      </c>
      <c r="T13" s="8">
        <f>IF(D13&gt;0,C13/D13,"")</f>
        <v/>
      </c>
      <c r="U13" s="6">
        <f>IF(C13&gt;0,F13/C13,"")</f>
        <v/>
      </c>
      <c r="V13" s="4">
        <f>IF(C13&gt;0,B13/C13*1000,"")</f>
        <v/>
      </c>
      <c r="W13" s="4">
        <f>IF(F13&gt;0,B13/F13,"")</f>
        <v/>
      </c>
      <c r="X13" s="4">
        <f>IF(H13&gt;0,B13/H13,"")</f>
        <v/>
      </c>
      <c r="Y13" s="7">
        <f>IF(F13&gt;0,G13/F13,"")</f>
        <v/>
      </c>
      <c r="Z13" s="7">
        <f>IF(G13&gt;0,H13/G13,"")</f>
        <v/>
      </c>
      <c r="AA13" s="6">
        <f>IF(C13&gt;0,I13/C13,"")</f>
        <v/>
      </c>
      <c r="AB13" s="7">
        <f>IF(C13&gt;0,N13/C13,"")</f>
        <v/>
      </c>
      <c r="AC13" s="7">
        <f>IF(N13&gt;0,R13/N13,"")</f>
        <v/>
      </c>
    </row>
    <row r="14">
      <c r="A14" s="2" t="inlineStr">
        <is>
          <t>2026-10-12</t>
        </is>
      </c>
      <c r="B14" s="4" t="n">
        <v>112.45</v>
      </c>
      <c r="C14" s="5" t="n">
        <v>2601</v>
      </c>
      <c r="D14" s="5" t="n">
        <v>2038</v>
      </c>
      <c r="E14" s="5" t="n">
        <v>61</v>
      </c>
      <c r="F14" s="5" t="n">
        <v>27</v>
      </c>
      <c r="G14" s="5" t="n">
        <v>8</v>
      </c>
      <c r="H14" s="5" t="n">
        <v>2</v>
      </c>
      <c r="I14" s="5" t="n">
        <v>99</v>
      </c>
      <c r="J14" s="5" t="n">
        <v>3</v>
      </c>
      <c r="K14" s="5" t="n">
        <v>0</v>
      </c>
      <c r="L14" s="5" t="n">
        <v>1</v>
      </c>
      <c r="M14" s="5" t="n">
        <v>1</v>
      </c>
      <c r="N14" s="5" t="n">
        <v>67</v>
      </c>
      <c r="O14" s="5" t="n">
        <v>36</v>
      </c>
      <c r="P14" s="5" t="n">
        <v>22</v>
      </c>
      <c r="Q14" s="5" t="n">
        <v>10</v>
      </c>
      <c r="R14" s="5" t="n">
        <v>7</v>
      </c>
      <c r="S14" s="5" t="n">
        <v>12</v>
      </c>
      <c r="T14" s="8">
        <f>IF(D14&gt;0,C14/D14,"")</f>
        <v/>
      </c>
      <c r="U14" s="6">
        <f>IF(C14&gt;0,F14/C14,"")</f>
        <v/>
      </c>
      <c r="V14" s="4">
        <f>IF(C14&gt;0,B14/C14*1000,"")</f>
        <v/>
      </c>
      <c r="W14" s="4">
        <f>IF(F14&gt;0,B14/F14,"")</f>
        <v/>
      </c>
      <c r="X14" s="4">
        <f>IF(H14&gt;0,B14/H14,"")</f>
        <v/>
      </c>
      <c r="Y14" s="7">
        <f>IF(F14&gt;0,G14/F14,"")</f>
        <v/>
      </c>
      <c r="Z14" s="7">
        <f>IF(G14&gt;0,H14/G14,"")</f>
        <v/>
      </c>
      <c r="AA14" s="6">
        <f>IF(C14&gt;0,I14/C14,"")</f>
        <v/>
      </c>
      <c r="AB14" s="7">
        <f>IF(C14&gt;0,N14/C14,"")</f>
        <v/>
      </c>
      <c r="AC14" s="7">
        <f>IF(N14&gt;0,R14/N14,"")</f>
        <v/>
      </c>
    </row>
    <row r="15">
      <c r="A15" s="2" t="inlineStr">
        <is>
          <t>2026-10-13</t>
        </is>
      </c>
      <c r="B15" s="4" t="n">
        <v>106.08</v>
      </c>
      <c r="C15" s="5" t="n">
        <v>2255</v>
      </c>
      <c r="D15" s="5" t="n">
        <v>1905</v>
      </c>
      <c r="E15" s="5" t="n">
        <v>43</v>
      </c>
      <c r="F15" s="5" t="n">
        <v>13</v>
      </c>
      <c r="G15" s="5" t="n">
        <v>4</v>
      </c>
      <c r="H15" s="5" t="n">
        <v>2</v>
      </c>
      <c r="I15" s="5" t="n">
        <v>73</v>
      </c>
      <c r="J15" s="5" t="n">
        <v>2</v>
      </c>
      <c r="K15" s="5" t="n">
        <v>1</v>
      </c>
      <c r="L15" s="5" t="n">
        <v>1</v>
      </c>
      <c r="M15" s="5" t="n">
        <v>1</v>
      </c>
      <c r="N15" s="5" t="n">
        <v>55</v>
      </c>
      <c r="O15" s="5" t="n">
        <v>31</v>
      </c>
      <c r="P15" s="5" t="n">
        <v>20</v>
      </c>
      <c r="Q15" s="5" t="n">
        <v>17</v>
      </c>
      <c r="R15" s="5" t="n">
        <v>14</v>
      </c>
      <c r="S15" s="5" t="n">
        <v>18</v>
      </c>
      <c r="T15" s="8">
        <f>IF(D15&gt;0,C15/D15,"")</f>
        <v/>
      </c>
      <c r="U15" s="6">
        <f>IF(C15&gt;0,F15/C15,"")</f>
        <v/>
      </c>
      <c r="V15" s="4">
        <f>IF(C15&gt;0,B15/C15*1000,"")</f>
        <v/>
      </c>
      <c r="W15" s="4">
        <f>IF(F15&gt;0,B15/F15,"")</f>
        <v/>
      </c>
      <c r="X15" s="4">
        <f>IF(H15&gt;0,B15/H15,"")</f>
        <v/>
      </c>
      <c r="Y15" s="7">
        <f>IF(F15&gt;0,G15/F15,"")</f>
        <v/>
      </c>
      <c r="Z15" s="7">
        <f>IF(G15&gt;0,H15/G15,"")</f>
        <v/>
      </c>
      <c r="AA15" s="6">
        <f>IF(C15&gt;0,I15/C15,"")</f>
        <v/>
      </c>
      <c r="AB15" s="7">
        <f>IF(C15&gt;0,N15/C15,"")</f>
        <v/>
      </c>
      <c r="AC15" s="7">
        <f>IF(N15&gt;0,R15/N15,"")</f>
        <v/>
      </c>
    </row>
    <row r="16">
      <c r="A16" s="2" t="inlineStr">
        <is>
          <t>2026-10-14</t>
        </is>
      </c>
      <c r="B16" s="4" t="n">
        <v>100.37</v>
      </c>
      <c r="C16" s="5" t="n">
        <v>2011</v>
      </c>
      <c r="D16" s="5" t="n">
        <v>1601</v>
      </c>
      <c r="E16" s="5" t="n">
        <v>38</v>
      </c>
      <c r="F16" s="5" t="n">
        <v>22</v>
      </c>
      <c r="G16" s="5" t="n">
        <v>5</v>
      </c>
      <c r="H16" s="5" t="n">
        <v>2</v>
      </c>
      <c r="I16" s="5" t="n">
        <v>79</v>
      </c>
      <c r="J16" s="5" t="n">
        <v>4</v>
      </c>
      <c r="K16" s="5" t="n">
        <v>0</v>
      </c>
      <c r="L16" s="5" t="n">
        <v>0</v>
      </c>
      <c r="M16" s="5" t="n">
        <v>1</v>
      </c>
      <c r="N16" s="5" t="n">
        <v>52</v>
      </c>
      <c r="O16" s="5" t="n">
        <v>31</v>
      </c>
      <c r="P16" s="5" t="n">
        <v>15</v>
      </c>
      <c r="Q16" s="5" t="n">
        <v>9</v>
      </c>
      <c r="R16" s="5" t="n">
        <v>5</v>
      </c>
      <c r="S16" s="5" t="n">
        <v>11</v>
      </c>
      <c r="T16" s="8">
        <f>IF(D16&gt;0,C16/D16,"")</f>
        <v/>
      </c>
      <c r="U16" s="6">
        <f>IF(C16&gt;0,F16/C16,"")</f>
        <v/>
      </c>
      <c r="V16" s="4">
        <f>IF(C16&gt;0,B16/C16*1000,"")</f>
        <v/>
      </c>
      <c r="W16" s="4">
        <f>IF(F16&gt;0,B16/F16,"")</f>
        <v/>
      </c>
      <c r="X16" s="4">
        <f>IF(H16&gt;0,B16/H16,"")</f>
        <v/>
      </c>
      <c r="Y16" s="7">
        <f>IF(F16&gt;0,G16/F16,"")</f>
        <v/>
      </c>
      <c r="Z16" s="7">
        <f>IF(G16&gt;0,H16/G16,"")</f>
        <v/>
      </c>
      <c r="AA16" s="6">
        <f>IF(C16&gt;0,I16/C16,"")</f>
        <v/>
      </c>
      <c r="AB16" s="7">
        <f>IF(C16&gt;0,N16/C16,"")</f>
        <v/>
      </c>
      <c r="AC16" s="7">
        <f>IF(N16&gt;0,R16/N16,"")</f>
        <v/>
      </c>
    </row>
    <row r="17">
      <c r="A17" s="2" t="inlineStr">
        <is>
          <t>2026-10-15</t>
        </is>
      </c>
      <c r="B17" s="4" t="n">
        <v>101.66</v>
      </c>
      <c r="C17" s="5" t="n">
        <v>1795</v>
      </c>
      <c r="D17" s="5" t="n">
        <v>1432</v>
      </c>
      <c r="E17" s="5" t="n">
        <v>40</v>
      </c>
      <c r="F17" s="5" t="n">
        <v>22</v>
      </c>
      <c r="G17" s="5" t="n">
        <v>3</v>
      </c>
      <c r="H17" s="5" t="n">
        <v>2</v>
      </c>
      <c r="I17" s="5" t="n">
        <v>83</v>
      </c>
      <c r="J17" s="5" t="n">
        <v>3</v>
      </c>
      <c r="K17" s="5" t="n">
        <v>0</v>
      </c>
      <c r="L17" s="5" t="n">
        <v>0</v>
      </c>
      <c r="M17" s="5" t="n">
        <v>0</v>
      </c>
      <c r="N17" s="5" t="n">
        <v>58</v>
      </c>
      <c r="O17" s="5" t="n">
        <v>37</v>
      </c>
      <c r="P17" s="5" t="n">
        <v>23</v>
      </c>
      <c r="Q17" s="5" t="n">
        <v>14</v>
      </c>
      <c r="R17" s="5" t="n">
        <v>10</v>
      </c>
      <c r="S17" s="5" t="n">
        <v>19</v>
      </c>
      <c r="T17" s="8">
        <f>IF(D17&gt;0,C17/D17,"")</f>
        <v/>
      </c>
      <c r="U17" s="6">
        <f>IF(C17&gt;0,F17/C17,"")</f>
        <v/>
      </c>
      <c r="V17" s="4">
        <f>IF(C17&gt;0,B17/C17*1000,"")</f>
        <v/>
      </c>
      <c r="W17" s="4">
        <f>IF(F17&gt;0,B17/F17,"")</f>
        <v/>
      </c>
      <c r="X17" s="4">
        <f>IF(H17&gt;0,B17/H17,"")</f>
        <v/>
      </c>
      <c r="Y17" s="7">
        <f>IF(F17&gt;0,G17/F17,"")</f>
        <v/>
      </c>
      <c r="Z17" s="7">
        <f>IF(G17&gt;0,H17/G17,"")</f>
        <v/>
      </c>
      <c r="AA17" s="6">
        <f>IF(C17&gt;0,I17/C17,"")</f>
        <v/>
      </c>
      <c r="AB17" s="7">
        <f>IF(C17&gt;0,N17/C17,"")</f>
        <v/>
      </c>
      <c r="AC17" s="7">
        <f>IF(N17&gt;0,R17/N17,"")</f>
        <v/>
      </c>
    </row>
    <row r="18">
      <c r="A18" s="2" t="inlineStr">
        <is>
          <t>2026-10-16</t>
        </is>
      </c>
      <c r="B18" s="4" t="n">
        <v>79.5</v>
      </c>
      <c r="C18" s="5" t="n">
        <v>1726</v>
      </c>
      <c r="D18" s="5" t="n">
        <v>1466</v>
      </c>
      <c r="E18" s="5" t="n">
        <v>25</v>
      </c>
      <c r="F18" s="5" t="n">
        <v>10</v>
      </c>
      <c r="G18" s="5" t="n">
        <v>0</v>
      </c>
      <c r="H18" s="5" t="n">
        <v>2</v>
      </c>
      <c r="I18" s="5" t="n">
        <v>50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39</v>
      </c>
      <c r="O18" s="5" t="n">
        <v>20</v>
      </c>
      <c r="P18" s="5" t="n">
        <v>13</v>
      </c>
      <c r="Q18" s="5" t="n">
        <v>8</v>
      </c>
      <c r="R18" s="5" t="n">
        <v>4</v>
      </c>
      <c r="S18" s="5" t="n">
        <v>9</v>
      </c>
      <c r="T18" s="8">
        <f>IF(D18&gt;0,C18/D18,"")</f>
        <v/>
      </c>
      <c r="U18" s="6">
        <f>IF(C18&gt;0,F18/C18,"")</f>
        <v/>
      </c>
      <c r="V18" s="4">
        <f>IF(C18&gt;0,B18/C18*1000,"")</f>
        <v/>
      </c>
      <c r="W18" s="4">
        <f>IF(F18&gt;0,B18/F18,"")</f>
        <v/>
      </c>
      <c r="X18" s="4">
        <f>IF(H18&gt;0,B18/H18,"")</f>
        <v/>
      </c>
      <c r="Y18" s="7">
        <f>IF(F18&gt;0,G18/F18,"")</f>
        <v/>
      </c>
      <c r="Z18" s="7">
        <f>IF(G18&gt;0,H18/G18,"")</f>
        <v/>
      </c>
      <c r="AA18" s="6">
        <f>IF(C18&gt;0,I18/C18,"")</f>
        <v/>
      </c>
      <c r="AB18" s="7">
        <f>IF(C18&gt;0,N18/C18,"")</f>
        <v/>
      </c>
      <c r="AC18" s="7">
        <f>IF(N18&gt;0,R18/N18,"")</f>
        <v/>
      </c>
    </row>
    <row r="19">
      <c r="A19" s="2" t="inlineStr">
        <is>
          <t>2026-10-17</t>
        </is>
      </c>
      <c r="B19" s="4" t="n">
        <v>63.55</v>
      </c>
      <c r="C19" s="5" t="n">
        <v>1696</v>
      </c>
      <c r="D19" s="5" t="n">
        <v>1398</v>
      </c>
      <c r="E19" s="5" t="n">
        <v>36</v>
      </c>
      <c r="F19" s="5" t="n">
        <v>22</v>
      </c>
      <c r="G19" s="5" t="n">
        <v>2</v>
      </c>
      <c r="H19" s="5" t="n">
        <v>7</v>
      </c>
      <c r="I19" s="5" t="n">
        <v>69</v>
      </c>
      <c r="J19" s="5" t="n">
        <v>1</v>
      </c>
      <c r="K19" s="5" t="n">
        <v>0</v>
      </c>
      <c r="L19" s="5" t="n">
        <v>0</v>
      </c>
      <c r="M19" s="5" t="n">
        <v>1</v>
      </c>
      <c r="N19" s="5" t="n">
        <v>45</v>
      </c>
      <c r="O19" s="5" t="n">
        <v>23</v>
      </c>
      <c r="P19" s="5" t="n">
        <v>16</v>
      </c>
      <c r="Q19" s="5" t="n">
        <v>11</v>
      </c>
      <c r="R19" s="5" t="n">
        <v>7</v>
      </c>
      <c r="S19" s="5" t="n">
        <v>13</v>
      </c>
      <c r="T19" s="8">
        <f>IF(D19&gt;0,C19/D19,"")</f>
        <v/>
      </c>
      <c r="U19" s="6">
        <f>IF(C19&gt;0,F19/C19,"")</f>
        <v/>
      </c>
      <c r="V19" s="4">
        <f>IF(C19&gt;0,B19/C19*1000,"")</f>
        <v/>
      </c>
      <c r="W19" s="4">
        <f>IF(F19&gt;0,B19/F19,"")</f>
        <v/>
      </c>
      <c r="X19" s="4">
        <f>IF(H19&gt;0,B19/H19,"")</f>
        <v/>
      </c>
      <c r="Y19" s="7">
        <f>IF(F19&gt;0,G19/F19,"")</f>
        <v/>
      </c>
      <c r="Z19" s="7">
        <f>IF(G19&gt;0,H19/G19,"")</f>
        <v/>
      </c>
      <c r="AA19" s="6">
        <f>IF(C19&gt;0,I19/C19,"")</f>
        <v/>
      </c>
      <c r="AB19" s="7">
        <f>IF(C19&gt;0,N19/C19,"")</f>
        <v/>
      </c>
      <c r="AC19" s="7">
        <f>IF(N19&gt;0,R19/N19,"")</f>
        <v/>
      </c>
    </row>
    <row r="20">
      <c r="A20" s="2" t="inlineStr">
        <is>
          <t>2026-10-18</t>
        </is>
      </c>
      <c r="B20" s="4" t="n">
        <v>129.53</v>
      </c>
      <c r="C20" s="5" t="n">
        <v>2333</v>
      </c>
      <c r="D20" s="5" t="n">
        <v>1835</v>
      </c>
      <c r="E20" s="5" t="n">
        <v>42</v>
      </c>
      <c r="F20" s="5" t="n">
        <v>29</v>
      </c>
      <c r="G20" s="5" t="n">
        <v>8</v>
      </c>
      <c r="H20" s="5" t="n">
        <v>5</v>
      </c>
      <c r="I20" s="5" t="n">
        <v>95</v>
      </c>
      <c r="J20" s="5" t="n">
        <v>1</v>
      </c>
      <c r="K20" s="5" t="n">
        <v>0</v>
      </c>
      <c r="L20" s="5" t="n">
        <v>1</v>
      </c>
      <c r="M20" s="5" t="n">
        <v>0</v>
      </c>
      <c r="N20" s="5" t="n">
        <v>64</v>
      </c>
      <c r="O20" s="5" t="n">
        <v>39</v>
      </c>
      <c r="P20" s="5" t="n">
        <v>21</v>
      </c>
      <c r="Q20" s="5" t="n">
        <v>15</v>
      </c>
      <c r="R20" s="5" t="n">
        <v>7</v>
      </c>
      <c r="S20" s="5" t="n">
        <v>17</v>
      </c>
      <c r="T20" s="8">
        <f>IF(D20&gt;0,C20/D20,"")</f>
        <v/>
      </c>
      <c r="U20" s="6">
        <f>IF(C20&gt;0,F20/C20,"")</f>
        <v/>
      </c>
      <c r="V20" s="4">
        <f>IF(C20&gt;0,B20/C20*1000,"")</f>
        <v/>
      </c>
      <c r="W20" s="4">
        <f>IF(F20&gt;0,B20/F20,"")</f>
        <v/>
      </c>
      <c r="X20" s="4">
        <f>IF(H20&gt;0,B20/H20,"")</f>
        <v/>
      </c>
      <c r="Y20" s="7">
        <f>IF(F20&gt;0,G20/F20,"")</f>
        <v/>
      </c>
      <c r="Z20" s="7">
        <f>IF(G20&gt;0,H20/G20,"")</f>
        <v/>
      </c>
      <c r="AA20" s="6">
        <f>IF(C20&gt;0,I20/C20,"")</f>
        <v/>
      </c>
      <c r="AB20" s="7">
        <f>IF(C20&gt;0,N20/C20,"")</f>
        <v/>
      </c>
      <c r="AC20" s="7">
        <f>IF(N20&gt;0,R20/N20,"")</f>
        <v/>
      </c>
    </row>
    <row r="21">
      <c r="A21" s="2" t="inlineStr">
        <is>
          <t>2026-10-19</t>
        </is>
      </c>
      <c r="B21" s="4" t="n">
        <v>138.65</v>
      </c>
      <c r="C21" s="5" t="n">
        <v>2416</v>
      </c>
      <c r="D21" s="5" t="n">
        <v>1949</v>
      </c>
      <c r="E21" s="5" t="n">
        <v>54</v>
      </c>
      <c r="F21" s="5" t="n">
        <v>27</v>
      </c>
      <c r="G21" s="5" t="n">
        <v>4</v>
      </c>
      <c r="H21" s="5" t="n">
        <v>6</v>
      </c>
      <c r="I21" s="5" t="n">
        <v>90</v>
      </c>
      <c r="J21" s="5" t="n">
        <v>3</v>
      </c>
      <c r="K21" s="5" t="n">
        <v>0</v>
      </c>
      <c r="L21" s="5" t="n">
        <v>0</v>
      </c>
      <c r="M21" s="5" t="n">
        <v>0</v>
      </c>
      <c r="N21" s="5" t="n">
        <v>60</v>
      </c>
      <c r="O21" s="5" t="n">
        <v>33</v>
      </c>
      <c r="P21" s="5" t="n">
        <v>17</v>
      </c>
      <c r="Q21" s="5" t="n">
        <v>12</v>
      </c>
      <c r="R21" s="5" t="n">
        <v>7</v>
      </c>
      <c r="S21" s="5" t="n">
        <v>14</v>
      </c>
      <c r="T21" s="8">
        <f>IF(D21&gt;0,C21/D21,"")</f>
        <v/>
      </c>
      <c r="U21" s="6">
        <f>IF(C21&gt;0,F21/C21,"")</f>
        <v/>
      </c>
      <c r="V21" s="4">
        <f>IF(C21&gt;0,B21/C21*1000,"")</f>
        <v/>
      </c>
      <c r="W21" s="4">
        <f>IF(F21&gt;0,B21/F21,"")</f>
        <v/>
      </c>
      <c r="X21" s="4">
        <f>IF(H21&gt;0,B21/H21,"")</f>
        <v/>
      </c>
      <c r="Y21" s="7">
        <f>IF(F21&gt;0,G21/F21,"")</f>
        <v/>
      </c>
      <c r="Z21" s="7">
        <f>IF(G21&gt;0,H21/G21,"")</f>
        <v/>
      </c>
      <c r="AA21" s="6">
        <f>IF(C21&gt;0,I21/C21,"")</f>
        <v/>
      </c>
      <c r="AB21" s="7">
        <f>IF(C21&gt;0,N21/C21,"")</f>
        <v/>
      </c>
      <c r="AC21" s="7">
        <f>IF(N21&gt;0,R21/N21,"")</f>
        <v/>
      </c>
    </row>
    <row r="22">
      <c r="A22" s="2" t="inlineStr">
        <is>
          <t>2026-10-20</t>
        </is>
      </c>
      <c r="B22" s="4" t="n">
        <v>106.17</v>
      </c>
      <c r="C22" s="5" t="n">
        <v>2040</v>
      </c>
      <c r="D22" s="5" t="n">
        <v>1626</v>
      </c>
      <c r="E22" s="5" t="n">
        <v>25</v>
      </c>
      <c r="F22" s="5" t="n">
        <v>17</v>
      </c>
      <c r="G22" s="5" t="n">
        <v>5</v>
      </c>
      <c r="H22" s="5" t="n">
        <v>1</v>
      </c>
      <c r="I22" s="5" t="n">
        <v>53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36</v>
      </c>
      <c r="O22" s="5" t="n">
        <v>26</v>
      </c>
      <c r="P22" s="5" t="n">
        <v>17</v>
      </c>
      <c r="Q22" s="5" t="n">
        <v>12</v>
      </c>
      <c r="R22" s="5" t="n">
        <v>7</v>
      </c>
      <c r="S22" s="5" t="n">
        <v>13</v>
      </c>
      <c r="T22" s="8">
        <f>IF(D22&gt;0,C22/D22,"")</f>
        <v/>
      </c>
      <c r="U22" s="6">
        <f>IF(C22&gt;0,F22/C22,"")</f>
        <v/>
      </c>
      <c r="V22" s="4">
        <f>IF(C22&gt;0,B22/C22*1000,"")</f>
        <v/>
      </c>
      <c r="W22" s="4">
        <f>IF(F22&gt;0,B22/F22,"")</f>
        <v/>
      </c>
      <c r="X22" s="4">
        <f>IF(H22&gt;0,B22/H22,"")</f>
        <v/>
      </c>
      <c r="Y22" s="7">
        <f>IF(F22&gt;0,G22/F22,"")</f>
        <v/>
      </c>
      <c r="Z22" s="7">
        <f>IF(G22&gt;0,H22/G22,"")</f>
        <v/>
      </c>
      <c r="AA22" s="6">
        <f>IF(C22&gt;0,I22/C22,"")</f>
        <v/>
      </c>
      <c r="AB22" s="7">
        <f>IF(C22&gt;0,N22/C22,"")</f>
        <v/>
      </c>
      <c r="AC22" s="7">
        <f>IF(N22&gt;0,R22/N22,"")</f>
        <v/>
      </c>
    </row>
    <row r="23">
      <c r="A23" s="2" t="inlineStr">
        <is>
          <t>2026-10-21</t>
        </is>
      </c>
      <c r="B23" s="4" t="n">
        <v>86.25</v>
      </c>
      <c r="C23" s="5" t="n">
        <v>1948</v>
      </c>
      <c r="D23" s="5" t="n">
        <v>1554</v>
      </c>
      <c r="E23" s="5" t="n">
        <v>24</v>
      </c>
      <c r="F23" s="5" t="n">
        <v>12</v>
      </c>
      <c r="G23" s="5" t="n">
        <v>3</v>
      </c>
      <c r="H23" s="5" t="n">
        <v>2</v>
      </c>
      <c r="I23" s="5" t="n">
        <v>63</v>
      </c>
      <c r="J23" s="5" t="n">
        <v>2</v>
      </c>
      <c r="K23" s="5" t="n">
        <v>0</v>
      </c>
      <c r="L23" s="5" t="n">
        <v>0</v>
      </c>
      <c r="M23" s="5" t="n">
        <v>0</v>
      </c>
      <c r="N23" s="5" t="n">
        <v>49</v>
      </c>
      <c r="O23" s="5" t="n">
        <v>31</v>
      </c>
      <c r="P23" s="5" t="n">
        <v>17</v>
      </c>
      <c r="Q23" s="5" t="n">
        <v>10</v>
      </c>
      <c r="R23" s="5" t="n">
        <v>8</v>
      </c>
      <c r="S23" s="5" t="n">
        <v>13</v>
      </c>
      <c r="T23" s="8">
        <f>IF(D23&gt;0,C23/D23,"")</f>
        <v/>
      </c>
      <c r="U23" s="6">
        <f>IF(C23&gt;0,F23/C23,"")</f>
        <v/>
      </c>
      <c r="V23" s="4">
        <f>IF(C23&gt;0,B23/C23*1000,"")</f>
        <v/>
      </c>
      <c r="W23" s="4">
        <f>IF(F23&gt;0,B23/F23,"")</f>
        <v/>
      </c>
      <c r="X23" s="4">
        <f>IF(H23&gt;0,B23/H23,"")</f>
        <v/>
      </c>
      <c r="Y23" s="7">
        <f>IF(F23&gt;0,G23/F23,"")</f>
        <v/>
      </c>
      <c r="Z23" s="7">
        <f>IF(G23&gt;0,H23/G23,"")</f>
        <v/>
      </c>
      <c r="AA23" s="6">
        <f>IF(C23&gt;0,I23/C23,"")</f>
        <v/>
      </c>
      <c r="AB23" s="7">
        <f>IF(C23&gt;0,N23/C23,"")</f>
        <v/>
      </c>
      <c r="AC23" s="7">
        <f>IF(N23&gt;0,R23/N23,"")</f>
        <v/>
      </c>
    </row>
    <row r="24">
      <c r="A24" s="2" t="inlineStr">
        <is>
          <t>2026-10-22</t>
        </is>
      </c>
      <c r="B24" s="4" t="n">
        <v>93.26000000000001</v>
      </c>
      <c r="C24" s="5" t="n">
        <v>2088</v>
      </c>
      <c r="D24" s="5" t="n">
        <v>1630</v>
      </c>
      <c r="E24" s="5" t="n">
        <v>50</v>
      </c>
      <c r="F24" s="5" t="n">
        <v>26</v>
      </c>
      <c r="G24" s="5" t="n">
        <v>5</v>
      </c>
      <c r="H24" s="5" t="n">
        <v>6</v>
      </c>
      <c r="I24" s="5" t="n">
        <v>82</v>
      </c>
      <c r="J24" s="5" t="n">
        <v>3</v>
      </c>
      <c r="K24" s="5" t="n">
        <v>0</v>
      </c>
      <c r="L24" s="5" t="n">
        <v>0</v>
      </c>
      <c r="M24" s="5" t="n">
        <v>0</v>
      </c>
      <c r="N24" s="5" t="n">
        <v>53</v>
      </c>
      <c r="O24" s="5" t="n">
        <v>34</v>
      </c>
      <c r="P24" s="5" t="n">
        <v>19</v>
      </c>
      <c r="Q24" s="5" t="n">
        <v>13</v>
      </c>
      <c r="R24" s="5" t="n">
        <v>9</v>
      </c>
      <c r="S24" s="5" t="n">
        <v>15</v>
      </c>
      <c r="T24" s="8">
        <f>IF(D24&gt;0,C24/D24,"")</f>
        <v/>
      </c>
      <c r="U24" s="6">
        <f>IF(C24&gt;0,F24/C24,"")</f>
        <v/>
      </c>
      <c r="V24" s="4">
        <f>IF(C24&gt;0,B24/C24*1000,"")</f>
        <v/>
      </c>
      <c r="W24" s="4">
        <f>IF(F24&gt;0,B24/F24,"")</f>
        <v/>
      </c>
      <c r="X24" s="4">
        <f>IF(H24&gt;0,B24/H24,"")</f>
        <v/>
      </c>
      <c r="Y24" s="7">
        <f>IF(F24&gt;0,G24/F24,"")</f>
        <v/>
      </c>
      <c r="Z24" s="7">
        <f>IF(G24&gt;0,H24/G24,"")</f>
        <v/>
      </c>
      <c r="AA24" s="6">
        <f>IF(C24&gt;0,I24/C24,"")</f>
        <v/>
      </c>
      <c r="AB24" s="7">
        <f>IF(C24&gt;0,N24/C24,"")</f>
        <v/>
      </c>
      <c r="AC24" s="7">
        <f>IF(N24&gt;0,R24/N24,"")</f>
        <v/>
      </c>
    </row>
    <row r="25">
      <c r="A25" s="2" t="inlineStr">
        <is>
          <t>2026-10-23</t>
        </is>
      </c>
      <c r="B25" s="4" t="n">
        <v>83.91</v>
      </c>
      <c r="C25" s="5" t="n">
        <v>1407</v>
      </c>
      <c r="D25" s="5" t="n">
        <v>1161</v>
      </c>
      <c r="E25" s="5" t="n">
        <v>36</v>
      </c>
      <c r="F25" s="5" t="n">
        <v>19</v>
      </c>
      <c r="G25" s="5" t="n">
        <v>5</v>
      </c>
      <c r="H25" s="5" t="n">
        <v>5</v>
      </c>
      <c r="I25" s="5" t="n">
        <v>59</v>
      </c>
      <c r="J25" s="5" t="n">
        <v>3</v>
      </c>
      <c r="K25" s="5" t="n">
        <v>0</v>
      </c>
      <c r="L25" s="5" t="n">
        <v>0</v>
      </c>
      <c r="M25" s="5" t="n">
        <v>1</v>
      </c>
      <c r="N25" s="5" t="n">
        <v>36</v>
      </c>
      <c r="O25" s="5" t="n">
        <v>24</v>
      </c>
      <c r="P25" s="5" t="n">
        <v>22</v>
      </c>
      <c r="Q25" s="5" t="n">
        <v>12</v>
      </c>
      <c r="R25" s="5" t="n">
        <v>8</v>
      </c>
      <c r="S25" s="5" t="n">
        <v>13</v>
      </c>
      <c r="T25" s="8">
        <f>IF(D25&gt;0,C25/D25,"")</f>
        <v/>
      </c>
      <c r="U25" s="6">
        <f>IF(C25&gt;0,F25/C25,"")</f>
        <v/>
      </c>
      <c r="V25" s="4">
        <f>IF(C25&gt;0,B25/C25*1000,"")</f>
        <v/>
      </c>
      <c r="W25" s="4">
        <f>IF(F25&gt;0,B25/F25,"")</f>
        <v/>
      </c>
      <c r="X25" s="4">
        <f>IF(H25&gt;0,B25/H25,"")</f>
        <v/>
      </c>
      <c r="Y25" s="7">
        <f>IF(F25&gt;0,G25/F25,"")</f>
        <v/>
      </c>
      <c r="Z25" s="7">
        <f>IF(G25&gt;0,H25/G25,"")</f>
        <v/>
      </c>
      <c r="AA25" s="6">
        <f>IF(C25&gt;0,I25/C25,"")</f>
        <v/>
      </c>
      <c r="AB25" s="7">
        <f>IF(C25&gt;0,N25/C25,"")</f>
        <v/>
      </c>
      <c r="AC25" s="7">
        <f>IF(N25&gt;0,R25/N25,"")</f>
        <v/>
      </c>
    </row>
    <row r="26">
      <c r="A26" s="2" t="inlineStr">
        <is>
          <t>2026-10-24</t>
        </is>
      </c>
      <c r="B26" s="4" t="n">
        <v>60.76</v>
      </c>
      <c r="C26" s="5" t="n">
        <v>1549</v>
      </c>
      <c r="D26" s="5" t="n">
        <v>1218</v>
      </c>
      <c r="E26" s="5" t="n">
        <v>24</v>
      </c>
      <c r="F26" s="5" t="n">
        <v>15</v>
      </c>
      <c r="G26" s="5" t="n">
        <v>1</v>
      </c>
      <c r="H26" s="5" t="n">
        <v>1</v>
      </c>
      <c r="I26" s="5" t="n">
        <v>64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49</v>
      </c>
      <c r="O26" s="5" t="n">
        <v>27</v>
      </c>
      <c r="P26" s="5" t="n">
        <v>17</v>
      </c>
      <c r="Q26" s="5" t="n">
        <v>12</v>
      </c>
      <c r="R26" s="5" t="n">
        <v>8</v>
      </c>
      <c r="S26" s="5" t="n">
        <v>12</v>
      </c>
      <c r="T26" s="8">
        <f>IF(D26&gt;0,C26/D26,"")</f>
        <v/>
      </c>
      <c r="U26" s="6">
        <f>IF(C26&gt;0,F26/C26,"")</f>
        <v/>
      </c>
      <c r="V26" s="4">
        <f>IF(C26&gt;0,B26/C26*1000,"")</f>
        <v/>
      </c>
      <c r="W26" s="4">
        <f>IF(F26&gt;0,B26/F26,"")</f>
        <v/>
      </c>
      <c r="X26" s="4">
        <f>IF(H26&gt;0,B26/H26,"")</f>
        <v/>
      </c>
      <c r="Y26" s="7">
        <f>IF(F26&gt;0,G26/F26,"")</f>
        <v/>
      </c>
      <c r="Z26" s="7">
        <f>IF(G26&gt;0,H26/G26,"")</f>
        <v/>
      </c>
      <c r="AA26" s="6">
        <f>IF(C26&gt;0,I26/C26,"")</f>
        <v/>
      </c>
      <c r="AB26" s="7">
        <f>IF(C26&gt;0,N26/C26,"")</f>
        <v/>
      </c>
      <c r="AC26" s="7">
        <f>IF(N26&gt;0,R26/N26,"")</f>
        <v/>
      </c>
    </row>
    <row r="27">
      <c r="A27" s="2" t="inlineStr">
        <is>
          <t>2026-10-25</t>
        </is>
      </c>
      <c r="B27" s="4" t="n">
        <v>126.46</v>
      </c>
      <c r="C27" s="5" t="n">
        <v>2298</v>
      </c>
      <c r="D27" s="5" t="n">
        <v>1808</v>
      </c>
      <c r="E27" s="5" t="n">
        <v>39</v>
      </c>
      <c r="F27" s="5" t="n">
        <v>22</v>
      </c>
      <c r="G27" s="5" t="n">
        <v>3</v>
      </c>
      <c r="H27" s="5" t="n">
        <v>2</v>
      </c>
      <c r="I27" s="5" t="n">
        <v>78</v>
      </c>
      <c r="J27" s="5" t="n">
        <v>5</v>
      </c>
      <c r="K27" s="5" t="n">
        <v>1</v>
      </c>
      <c r="L27" s="5" t="n">
        <v>0</v>
      </c>
      <c r="M27" s="5" t="n">
        <v>1</v>
      </c>
      <c r="N27" s="5" t="n">
        <v>49</v>
      </c>
      <c r="O27" s="5" t="n">
        <v>30</v>
      </c>
      <c r="P27" s="5" t="n">
        <v>21</v>
      </c>
      <c r="Q27" s="5" t="n">
        <v>12</v>
      </c>
      <c r="R27" s="5" t="n">
        <v>11</v>
      </c>
      <c r="S27" s="5" t="n">
        <v>15</v>
      </c>
      <c r="T27" s="8">
        <f>IF(D27&gt;0,C27/D27,"")</f>
        <v/>
      </c>
      <c r="U27" s="6">
        <f>IF(C27&gt;0,F27/C27,"")</f>
        <v/>
      </c>
      <c r="V27" s="4">
        <f>IF(C27&gt;0,B27/C27*1000,"")</f>
        <v/>
      </c>
      <c r="W27" s="4">
        <f>IF(F27&gt;0,B27/F27,"")</f>
        <v/>
      </c>
      <c r="X27" s="4">
        <f>IF(H27&gt;0,B27/H27,"")</f>
        <v/>
      </c>
      <c r="Y27" s="7">
        <f>IF(F27&gt;0,G27/F27,"")</f>
        <v/>
      </c>
      <c r="Z27" s="7">
        <f>IF(G27&gt;0,H27/G27,"")</f>
        <v/>
      </c>
      <c r="AA27" s="6">
        <f>IF(C27&gt;0,I27/C27,"")</f>
        <v/>
      </c>
      <c r="AB27" s="7">
        <f>IF(C27&gt;0,N27/C27,"")</f>
        <v/>
      </c>
      <c r="AC27" s="7">
        <f>IF(N27&gt;0,R27/N27,"")</f>
        <v/>
      </c>
    </row>
    <row r="28">
      <c r="A28" s="2" t="inlineStr">
        <is>
          <t>2026-10-26</t>
        </is>
      </c>
      <c r="B28" s="4" t="n">
        <v>85.72</v>
      </c>
      <c r="C28" s="5" t="n">
        <v>3979</v>
      </c>
      <c r="D28" s="5" t="n">
        <v>3083</v>
      </c>
      <c r="E28" s="5" t="n">
        <v>77</v>
      </c>
      <c r="F28" s="5" t="n">
        <v>52</v>
      </c>
      <c r="G28" s="5" t="n">
        <v>1</v>
      </c>
      <c r="H28" s="5" t="n">
        <v>7</v>
      </c>
      <c r="I28" s="5" t="n">
        <v>253</v>
      </c>
      <c r="J28" s="5" t="n">
        <v>4</v>
      </c>
      <c r="K28" s="5" t="n">
        <v>0</v>
      </c>
      <c r="L28" s="5" t="n">
        <v>0</v>
      </c>
      <c r="M28" s="5" t="n">
        <v>0</v>
      </c>
      <c r="N28" s="5" t="n">
        <v>197</v>
      </c>
      <c r="O28" s="5" t="n">
        <v>103</v>
      </c>
      <c r="P28" s="5" t="n">
        <v>67</v>
      </c>
      <c r="Q28" s="5" t="n">
        <v>42</v>
      </c>
      <c r="R28" s="5" t="n">
        <v>28</v>
      </c>
      <c r="S28" s="5" t="n">
        <v>49</v>
      </c>
      <c r="T28" s="8">
        <f>IF(D28&gt;0,C28/D28,"")</f>
        <v/>
      </c>
      <c r="U28" s="6">
        <f>IF(C28&gt;0,F28/C28,"")</f>
        <v/>
      </c>
      <c r="V28" s="4">
        <f>IF(C28&gt;0,B28/C28*1000,"")</f>
        <v/>
      </c>
      <c r="W28" s="4">
        <f>IF(F28&gt;0,B28/F28,"")</f>
        <v/>
      </c>
      <c r="X28" s="4">
        <f>IF(H28&gt;0,B28/H28,"")</f>
        <v/>
      </c>
      <c r="Y28" s="7">
        <f>IF(F28&gt;0,G28/F28,"")</f>
        <v/>
      </c>
      <c r="Z28" s="7">
        <f>IF(G28&gt;0,H28/G28,"")</f>
        <v/>
      </c>
      <c r="AA28" s="6">
        <f>IF(C28&gt;0,I28/C28,"")</f>
        <v/>
      </c>
      <c r="AB28" s="7">
        <f>IF(C28&gt;0,N28/C28,"")</f>
        <v/>
      </c>
      <c r="AC28" s="7">
        <f>IF(N28&gt;0,R28/N28,"")</f>
        <v/>
      </c>
    </row>
    <row r="29">
      <c r="A29" s="2" t="inlineStr">
        <is>
          <t>2026-10-27</t>
        </is>
      </c>
      <c r="B29" s="4" t="n">
        <v>69.28</v>
      </c>
      <c r="C29" s="5" t="n">
        <v>3090</v>
      </c>
      <c r="D29" s="5" t="n">
        <v>2452</v>
      </c>
      <c r="E29" s="5" t="n">
        <v>55</v>
      </c>
      <c r="F29" s="5" t="n">
        <v>32</v>
      </c>
      <c r="G29" s="5" t="n">
        <v>0</v>
      </c>
      <c r="H29" s="5" t="n">
        <v>7</v>
      </c>
      <c r="I29" s="5" t="n">
        <v>203</v>
      </c>
      <c r="J29" s="5" t="n">
        <v>3</v>
      </c>
      <c r="K29" s="5" t="n">
        <v>0</v>
      </c>
      <c r="L29" s="5" t="n">
        <v>1</v>
      </c>
      <c r="M29" s="5" t="n">
        <v>0</v>
      </c>
      <c r="N29" s="5" t="n">
        <v>167</v>
      </c>
      <c r="O29" s="5" t="n">
        <v>99</v>
      </c>
      <c r="P29" s="5" t="n">
        <v>81</v>
      </c>
      <c r="Q29" s="5" t="n">
        <v>42</v>
      </c>
      <c r="R29" s="5" t="n">
        <v>27</v>
      </c>
      <c r="S29" s="5" t="n">
        <v>50</v>
      </c>
      <c r="T29" s="8">
        <f>IF(D29&gt;0,C29/D29,"")</f>
        <v/>
      </c>
      <c r="U29" s="6">
        <f>IF(C29&gt;0,F29/C29,"")</f>
        <v/>
      </c>
      <c r="V29" s="4">
        <f>IF(C29&gt;0,B29/C29*1000,"")</f>
        <v/>
      </c>
      <c r="W29" s="4">
        <f>IF(F29&gt;0,B29/F29,"")</f>
        <v/>
      </c>
      <c r="X29" s="4">
        <f>IF(H29&gt;0,B29/H29,"")</f>
        <v/>
      </c>
      <c r="Y29" s="7">
        <f>IF(F29&gt;0,G29/F29,"")</f>
        <v/>
      </c>
      <c r="Z29" s="7">
        <f>IF(G29&gt;0,H29/G29,"")</f>
        <v/>
      </c>
      <c r="AA29" s="6">
        <f>IF(C29&gt;0,I29/C29,"")</f>
        <v/>
      </c>
      <c r="AB29" s="7">
        <f>IF(C29&gt;0,N29/C29,"")</f>
        <v/>
      </c>
      <c r="AC29" s="7">
        <f>IF(N29&gt;0,R29/N29,"")</f>
        <v/>
      </c>
    </row>
    <row r="30">
      <c r="A30" s="2" t="inlineStr">
        <is>
          <t>2026-10-28</t>
        </is>
      </c>
      <c r="B30" s="4" t="n">
        <v>58.03</v>
      </c>
      <c r="C30" s="5" t="n">
        <v>2543</v>
      </c>
      <c r="D30" s="5" t="n">
        <v>2041</v>
      </c>
      <c r="E30" s="5" t="n">
        <v>51</v>
      </c>
      <c r="F30" s="5" t="n">
        <v>32</v>
      </c>
      <c r="G30" s="5" t="n">
        <v>0</v>
      </c>
      <c r="H30" s="5" t="n">
        <v>5</v>
      </c>
      <c r="I30" s="5" t="n">
        <v>188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155</v>
      </c>
      <c r="O30" s="5" t="n">
        <v>74</v>
      </c>
      <c r="P30" s="5" t="n">
        <v>48</v>
      </c>
      <c r="Q30" s="5" t="n">
        <v>25</v>
      </c>
      <c r="R30" s="5" t="n">
        <v>16</v>
      </c>
      <c r="S30" s="5" t="n">
        <v>28</v>
      </c>
      <c r="T30" s="8">
        <f>IF(D30&gt;0,C30/D30,"")</f>
        <v/>
      </c>
      <c r="U30" s="6">
        <f>IF(C30&gt;0,F30/C30,"")</f>
        <v/>
      </c>
      <c r="V30" s="4">
        <f>IF(C30&gt;0,B30/C30*1000,"")</f>
        <v/>
      </c>
      <c r="W30" s="4">
        <f>IF(F30&gt;0,B30/F30,"")</f>
        <v/>
      </c>
      <c r="X30" s="4">
        <f>IF(H30&gt;0,B30/H30,"")</f>
        <v/>
      </c>
      <c r="Y30" s="7">
        <f>IF(F30&gt;0,G30/F30,"")</f>
        <v/>
      </c>
      <c r="Z30" s="7">
        <f>IF(G30&gt;0,H30/G30,"")</f>
        <v/>
      </c>
      <c r="AA30" s="6">
        <f>IF(C30&gt;0,I30/C30,"")</f>
        <v/>
      </c>
      <c r="AB30" s="7">
        <f>IF(C30&gt;0,N30/C30,"")</f>
        <v/>
      </c>
      <c r="AC30" s="7">
        <f>IF(N30&gt;0,R30/N30,"")</f>
        <v/>
      </c>
    </row>
    <row r="31">
      <c r="A31" s="2" t="inlineStr">
        <is>
          <t>2026-10-29</t>
        </is>
      </c>
      <c r="B31" s="4" t="n">
        <v>68.88</v>
      </c>
      <c r="C31" s="5" t="n">
        <v>3035</v>
      </c>
      <c r="D31" s="5" t="n">
        <v>2314</v>
      </c>
      <c r="E31" s="5" t="n">
        <v>56</v>
      </c>
      <c r="F31" s="5" t="n">
        <v>34</v>
      </c>
      <c r="G31" s="5" t="n">
        <v>0</v>
      </c>
      <c r="H31" s="5" t="n">
        <v>5</v>
      </c>
      <c r="I31" s="5" t="n">
        <v>204</v>
      </c>
      <c r="J31" s="5" t="n">
        <v>1</v>
      </c>
      <c r="K31" s="5" t="n">
        <v>1</v>
      </c>
      <c r="L31" s="5" t="n">
        <v>0</v>
      </c>
      <c r="M31" s="5" t="n">
        <v>0</v>
      </c>
      <c r="N31" s="5" t="n">
        <v>168</v>
      </c>
      <c r="O31" s="5" t="n">
        <v>89</v>
      </c>
      <c r="P31" s="5" t="n">
        <v>66</v>
      </c>
      <c r="Q31" s="5" t="n">
        <v>31</v>
      </c>
      <c r="R31" s="5" t="n">
        <v>24</v>
      </c>
      <c r="S31" s="5" t="n">
        <v>41</v>
      </c>
      <c r="T31" s="8">
        <f>IF(D31&gt;0,C31/D31,"")</f>
        <v/>
      </c>
      <c r="U31" s="6">
        <f>IF(C31&gt;0,F31/C31,"")</f>
        <v/>
      </c>
      <c r="V31" s="4">
        <f>IF(C31&gt;0,B31/C31*1000,"")</f>
        <v/>
      </c>
      <c r="W31" s="4">
        <f>IF(F31&gt;0,B31/F31,"")</f>
        <v/>
      </c>
      <c r="X31" s="4">
        <f>IF(H31&gt;0,B31/H31,"")</f>
        <v/>
      </c>
      <c r="Y31" s="7">
        <f>IF(F31&gt;0,G31/F31,"")</f>
        <v/>
      </c>
      <c r="Z31" s="7">
        <f>IF(G31&gt;0,H31/G31,"")</f>
        <v/>
      </c>
      <c r="AA31" s="6">
        <f>IF(C31&gt;0,I31/C31,"")</f>
        <v/>
      </c>
      <c r="AB31" s="7">
        <f>IF(C31&gt;0,N31/C31,"")</f>
        <v/>
      </c>
      <c r="AC31" s="7">
        <f>IF(N31&gt;0,R31/N31,"")</f>
        <v/>
      </c>
    </row>
    <row r="32">
      <c r="A32" s="11" t="inlineStr">
        <is>
          <t>Total</t>
        </is>
      </c>
      <c r="B32" s="12">
        <f>SUM(B2:B31)</f>
        <v/>
      </c>
      <c r="C32" s="13">
        <f>SUM(C2:C31)</f>
        <v/>
      </c>
      <c r="D32" s="13" t="n"/>
      <c r="E32" s="13">
        <f>SUM(E2:E31)</f>
        <v/>
      </c>
      <c r="F32" s="13">
        <f>SUM(F2:F31)</f>
        <v/>
      </c>
      <c r="G32" s="13">
        <f>SUM(G2:G31)</f>
        <v/>
      </c>
      <c r="H32" s="13">
        <f>SUM(H2:H31)</f>
        <v/>
      </c>
      <c r="I32" s="13">
        <f>SUM(I2:I31)</f>
        <v/>
      </c>
      <c r="J32" s="13">
        <f>SUM(J2:J31)</f>
        <v/>
      </c>
      <c r="K32" s="13">
        <f>SUM(K2:K31)</f>
        <v/>
      </c>
      <c r="L32" s="13">
        <f>SUM(L2:L31)</f>
        <v/>
      </c>
      <c r="M32" s="13">
        <f>SUM(M2:M31)</f>
        <v/>
      </c>
      <c r="N32" s="13">
        <f>SUM(N2:N31)</f>
        <v/>
      </c>
      <c r="O32" s="13">
        <f>SUM(O2:O31)</f>
        <v/>
      </c>
      <c r="P32" s="13">
        <f>SUM(P2:P31)</f>
        <v/>
      </c>
      <c r="Q32" s="13">
        <f>SUM(Q2:Q31)</f>
        <v/>
      </c>
      <c r="R32" s="13">
        <f>SUM(R2:R31)</f>
        <v/>
      </c>
      <c r="S32" s="13">
        <f>SUM(S2:S31)</f>
        <v/>
      </c>
      <c r="T32" s="14">
        <f>IF(D32&gt;0,C32/D32,"")</f>
        <v/>
      </c>
      <c r="U32" s="15">
        <f>IF(C32&gt;0,F32/C32,"")</f>
        <v/>
      </c>
      <c r="V32" s="12">
        <f>IF(C32&gt;0,B32/C32*1000,"")</f>
        <v/>
      </c>
      <c r="W32" s="12">
        <f>IF(F32&gt;0,B32/F32,"")</f>
        <v/>
      </c>
      <c r="X32" s="12">
        <f>IF(H32&gt;0,B32/H32,"")</f>
        <v/>
      </c>
      <c r="Y32" s="16">
        <f>IF(F32&gt;0,G32/F32,"")</f>
        <v/>
      </c>
      <c r="Z32" s="16">
        <f>IF(G32&gt;0,H32/G32,"")</f>
        <v/>
      </c>
      <c r="AA32" s="15">
        <f>IF(C32&gt;0,I32/C32,"")</f>
        <v/>
      </c>
      <c r="AB32" s="16">
        <f>IF(C32&gt;0,N32/C32,"")</f>
        <v/>
      </c>
      <c r="AC32" s="16">
        <f>IF(N32&gt;0,R32/N32,"")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Anuncio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2026-09-24 – Plumbing – Tank Flush $149 – EN</t>
        </is>
      </c>
      <c r="B2" s="4" t="n">
        <v>663.62</v>
      </c>
      <c r="C2" s="5" t="n">
        <v>20489</v>
      </c>
      <c r="D2" s="5" t="n">
        <v>10788</v>
      </c>
      <c r="E2" s="5" t="n">
        <v>346</v>
      </c>
      <c r="F2" s="5" t="n">
        <v>173</v>
      </c>
      <c r="G2" s="5" t="n">
        <v>2</v>
      </c>
      <c r="H2" s="5" t="n">
        <v>14</v>
      </c>
      <c r="I2" s="5" t="n">
        <v>205</v>
      </c>
      <c r="J2" s="5" t="n">
        <v>24</v>
      </c>
      <c r="K2" s="5" t="n">
        <v>3</v>
      </c>
      <c r="L2" s="5" t="n">
        <v>2</v>
      </c>
      <c r="M2" s="5" t="n">
        <v>3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2026-10-08 – 0% Interest 24 Months – EN</t>
        </is>
      </c>
      <c r="B3" s="4" t="n">
        <v>642.46</v>
      </c>
      <c r="C3" s="5" t="n">
        <v>4227</v>
      </c>
      <c r="D3" s="5" t="n">
        <v>2001</v>
      </c>
      <c r="E3" s="5" t="n">
        <v>90</v>
      </c>
      <c r="F3" s="5" t="n">
        <v>59</v>
      </c>
      <c r="G3" s="5" t="n">
        <v>46</v>
      </c>
      <c r="H3" s="5" t="n">
        <v>10</v>
      </c>
      <c r="I3" s="5" t="n">
        <v>63</v>
      </c>
      <c r="J3" s="5" t="n">
        <v>4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HVAC Technician – $55-65hr + $1000 Bonus – Instant Form – SB Form</t>
        </is>
      </c>
      <c r="B4" s="4" t="n">
        <v>279.25</v>
      </c>
      <c r="C4" s="5" t="n">
        <v>16050</v>
      </c>
      <c r="D4" s="5" t="n">
        <v>5944</v>
      </c>
      <c r="E4" s="5" t="n">
        <v>368</v>
      </c>
      <c r="F4" s="5" t="n">
        <v>223</v>
      </c>
      <c r="G4" s="5" t="n">
        <v>1</v>
      </c>
      <c r="H4" s="5" t="n">
        <v>56</v>
      </c>
      <c r="I4" s="5" t="n">
        <v>1560</v>
      </c>
      <c r="J4" s="5" t="n">
        <v>11</v>
      </c>
      <c r="K4" s="5" t="n">
        <v>0</v>
      </c>
      <c r="L4" s="5" t="n">
        <v>2</v>
      </c>
      <c r="M4" s="5" t="n">
        <v>2</v>
      </c>
      <c r="N4" s="5" t="n">
        <v>1322</v>
      </c>
      <c r="O4" s="5" t="n">
        <v>738</v>
      </c>
      <c r="P4" s="5" t="n">
        <v>526</v>
      </c>
      <c r="Q4" s="5" t="n">
        <v>290</v>
      </c>
      <c r="R4" s="5" t="n">
        <v>194</v>
      </c>
      <c r="S4" s="5" t="n">
        <v>338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2" t="inlineStr">
        <is>
          <t>2026-10-08 – Instalación AC Miami-Dade – ES</t>
        </is>
      </c>
      <c r="B5" s="4" t="n">
        <v>259.42</v>
      </c>
      <c r="C5" s="5" t="n">
        <v>4596</v>
      </c>
      <c r="D5" s="5" t="n">
        <v>2570</v>
      </c>
      <c r="E5" s="5" t="n">
        <v>46</v>
      </c>
      <c r="F5" s="5" t="n">
        <v>24</v>
      </c>
      <c r="G5" s="5" t="n">
        <v>17</v>
      </c>
      <c r="H5" s="5" t="n">
        <v>3</v>
      </c>
      <c r="I5" s="5" t="n">
        <v>31</v>
      </c>
      <c r="J5" s="5" t="n">
        <v>5</v>
      </c>
      <c r="K5" s="5" t="n">
        <v>0</v>
      </c>
      <c r="L5" s="5" t="n">
        <v>0</v>
      </c>
      <c r="M5" s="5" t="n">
        <v>2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>
        <f>IF(D5&gt;0,C5/D5,"")</f>
        <v/>
      </c>
      <c r="U5" s="6">
        <f>IF(C5&gt;0,F5/C5,"")</f>
        <v/>
      </c>
      <c r="V5" s="4">
        <f>IF(C5&gt;0,B5/C5*1000,"")</f>
        <v/>
      </c>
      <c r="W5" s="4">
        <f>IF(F5&gt;0,B5/F5,"")</f>
        <v/>
      </c>
      <c r="X5" s="4">
        <f>IF(H5&gt;0,B5/H5,"")</f>
        <v/>
      </c>
      <c r="Y5" s="7">
        <f>IF(F5&gt;0,G5/F5,"")</f>
        <v/>
      </c>
      <c r="Z5" s="7">
        <f>IF(G5&gt;0,H5/G5,"")</f>
        <v/>
      </c>
      <c r="AA5" s="6">
        <f>IF(C5&gt;0,I5/C5,"")</f>
        <v/>
      </c>
      <c r="AB5" s="7">
        <f>IF(C5&gt;0,N5/C5,"")</f>
        <v/>
      </c>
      <c r="AC5" s="7">
        <f>IF(N5&gt;0,R5/N5,"")</f>
        <v/>
      </c>
    </row>
    <row r="6">
      <c r="A6" s="2" t="inlineStr">
        <is>
          <t>2026-10-08 – Before You Sign v3 – EN</t>
        </is>
      </c>
      <c r="B6" s="4" t="n">
        <v>137.85</v>
      </c>
      <c r="C6" s="5" t="n">
        <v>1056</v>
      </c>
      <c r="D6" s="5" t="n">
        <v>481</v>
      </c>
      <c r="E6" s="5" t="n">
        <v>28</v>
      </c>
      <c r="F6" s="5" t="n">
        <v>14</v>
      </c>
      <c r="G6" s="5" t="n">
        <v>9</v>
      </c>
      <c r="H6" s="5" t="n">
        <v>0</v>
      </c>
      <c r="I6" s="5" t="n">
        <v>16</v>
      </c>
      <c r="J6" s="5" t="n">
        <v>2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>
        <f>IF(D6&gt;0,C6/D6,"")</f>
        <v/>
      </c>
      <c r="U6" s="6">
        <f>IF(C6&gt;0,F6/C6,"")</f>
        <v/>
      </c>
      <c r="V6" s="4">
        <f>IF(C6&gt;0,B6/C6*1000,"")</f>
        <v/>
      </c>
      <c r="W6" s="4">
        <f>IF(F6&gt;0,B6/F6,"")</f>
        <v/>
      </c>
      <c r="X6" s="4">
        <f>IF(H6&gt;0,B6/H6,"")</f>
        <v/>
      </c>
      <c r="Y6" s="7">
        <f>IF(F6&gt;0,G6/F6,"")</f>
        <v/>
      </c>
      <c r="Z6" s="7">
        <f>IF(G6&gt;0,H6/G6,"")</f>
        <v/>
      </c>
      <c r="AA6" s="6">
        <f>IF(C6&gt;0,I6/C6,"")</f>
        <v/>
      </c>
      <c r="AB6" s="7">
        <f>IF(C6&gt;0,N6/C6,"")</f>
        <v/>
      </c>
      <c r="AC6" s="7">
        <f>IF(N6&gt;0,R6/N6,"")</f>
        <v/>
      </c>
    </row>
    <row r="7">
      <c r="A7" s="2" t="inlineStr">
        <is>
          <t>2026-09-24 – 0% Interest 24 Months – $5,800 – EN</t>
        </is>
      </c>
      <c r="B7" s="4" t="n">
        <v>116.69</v>
      </c>
      <c r="C7" s="5" t="n">
        <v>3172</v>
      </c>
      <c r="D7" s="5" t="n">
        <v>2604</v>
      </c>
      <c r="E7" s="5" t="n">
        <v>38</v>
      </c>
      <c r="F7" s="5" t="n">
        <v>33</v>
      </c>
      <c r="G7" s="5" t="n">
        <v>1</v>
      </c>
      <c r="H7" s="5" t="n">
        <v>2</v>
      </c>
      <c r="I7" s="5" t="n">
        <v>33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>
        <f>IF(D7&gt;0,C7/D7,"")</f>
        <v/>
      </c>
      <c r="U7" s="6">
        <f>IF(C7&gt;0,F7/C7,"")</f>
        <v/>
      </c>
      <c r="V7" s="4">
        <f>IF(C7&gt;0,B7/C7*1000,"")</f>
        <v/>
      </c>
      <c r="W7" s="4">
        <f>IF(F7&gt;0,B7/F7,"")</f>
        <v/>
      </c>
      <c r="X7" s="4">
        <f>IF(H7&gt;0,B7/H7,"")</f>
        <v/>
      </c>
      <c r="Y7" s="7">
        <f>IF(F7&gt;0,G7/F7,"")</f>
        <v/>
      </c>
      <c r="Z7" s="7">
        <f>IF(G7&gt;0,H7/G7,"")</f>
        <v/>
      </c>
      <c r="AA7" s="6">
        <f>IF(C7&gt;0,I7/C7,"")</f>
        <v/>
      </c>
      <c r="AB7" s="7">
        <f>IF(C7&gt;0,N7/C7,"")</f>
        <v/>
      </c>
      <c r="AC7" s="7">
        <f>IF(N7&gt;0,R7/N7,"")</f>
        <v/>
      </c>
    </row>
    <row r="8">
      <c r="A8" s="2" t="inlineStr">
        <is>
          <t>Plumber Hiring 2026 - Instant Form</t>
        </is>
      </c>
      <c r="B8" s="4" t="n">
        <v>114.37</v>
      </c>
      <c r="C8" s="5" t="n">
        <v>7413</v>
      </c>
      <c r="D8" s="5" t="n">
        <v>3571</v>
      </c>
      <c r="E8" s="5" t="n">
        <v>190</v>
      </c>
      <c r="F8" s="5" t="n">
        <v>96</v>
      </c>
      <c r="G8" s="5" t="n">
        <v>3</v>
      </c>
      <c r="H8" s="5" t="n">
        <v>17</v>
      </c>
      <c r="I8" s="5" t="n">
        <v>727</v>
      </c>
      <c r="J8" s="5" t="n">
        <v>6</v>
      </c>
      <c r="K8" s="5" t="n">
        <v>2</v>
      </c>
      <c r="L8" s="5" t="n">
        <v>1</v>
      </c>
      <c r="M8" s="5" t="n">
        <v>0</v>
      </c>
      <c r="N8" s="5" t="n">
        <v>622</v>
      </c>
      <c r="O8" s="5" t="n">
        <v>376</v>
      </c>
      <c r="P8" s="5" t="n">
        <v>241</v>
      </c>
      <c r="Q8" s="5" t="n">
        <v>148</v>
      </c>
      <c r="R8" s="5" t="n">
        <v>104</v>
      </c>
      <c r="S8" s="5" t="n">
        <v>180</v>
      </c>
      <c r="T8" s="8">
        <f>IF(D8&gt;0,C8/D8,"")</f>
        <v/>
      </c>
      <c r="U8" s="6">
        <f>IF(C8&gt;0,F8/C8,"")</f>
        <v/>
      </c>
      <c r="V8" s="4">
        <f>IF(C8&gt;0,B8/C8*1000,"")</f>
        <v/>
      </c>
      <c r="W8" s="4">
        <f>IF(F8&gt;0,B8/F8,"")</f>
        <v/>
      </c>
      <c r="X8" s="4">
        <f>IF(H8&gt;0,B8/H8,"")</f>
        <v/>
      </c>
      <c r="Y8" s="7">
        <f>IF(F8&gt;0,G8/F8,"")</f>
        <v/>
      </c>
      <c r="Z8" s="7">
        <f>IF(G8&gt;0,H8/G8,"")</f>
        <v/>
      </c>
      <c r="AA8" s="6">
        <f>IF(C8&gt;0,I8/C8,"")</f>
        <v/>
      </c>
      <c r="AB8" s="7">
        <f>IF(C8&gt;0,N8/C8,"")</f>
        <v/>
      </c>
      <c r="AC8" s="7">
        <f>IF(N8&gt;0,R8/N8,"")</f>
        <v/>
      </c>
    </row>
    <row r="9">
      <c r="A9" s="2" t="inlineStr">
        <is>
          <t>2026-10-06 – Plumbing – Tank Flush $149 – EN – Landing</t>
        </is>
      </c>
      <c r="B9" s="4" t="n">
        <v>85.62</v>
      </c>
      <c r="C9" s="5" t="n">
        <v>2362</v>
      </c>
      <c r="D9" s="5" t="n">
        <v>1768</v>
      </c>
      <c r="E9" s="5" t="n">
        <v>37</v>
      </c>
      <c r="F9" s="5" t="n">
        <v>27</v>
      </c>
      <c r="G9" s="5" t="n">
        <v>18</v>
      </c>
      <c r="H9" s="5" t="n">
        <v>0</v>
      </c>
      <c r="I9" s="5" t="n">
        <v>30</v>
      </c>
      <c r="J9" s="5" t="n">
        <v>3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>
        <f>IF(D9&gt;0,C9/D9,"")</f>
        <v/>
      </c>
      <c r="U9" s="6">
        <f>IF(C9&gt;0,F9/C9,"")</f>
        <v/>
      </c>
      <c r="V9" s="4">
        <f>IF(C9&gt;0,B9/C9*1000,"")</f>
        <v/>
      </c>
      <c r="W9" s="4">
        <f>IF(F9&gt;0,B9/F9,"")</f>
        <v/>
      </c>
      <c r="X9" s="4">
        <f>IF(H9&gt;0,B9/H9,"")</f>
        <v/>
      </c>
      <c r="Y9" s="7">
        <f>IF(F9&gt;0,G9/F9,"")</f>
        <v/>
      </c>
      <c r="Z9" s="7">
        <f>IF(G9&gt;0,H9/G9,"")</f>
        <v/>
      </c>
      <c r="AA9" s="6">
        <f>IF(C9&gt;0,I9/C9,"")</f>
        <v/>
      </c>
      <c r="AB9" s="7">
        <f>IF(C9&gt;0,N9/C9,"")</f>
        <v/>
      </c>
      <c r="AC9" s="7">
        <f>IF(N9&gt;0,R9/N9,"")</f>
        <v/>
      </c>
    </row>
    <row r="10">
      <c r="A10" s="2" t="inlineStr">
        <is>
          <t>2026-09-24 – Plumbing – Tankless Flush $289 – Noel – EN</t>
        </is>
      </c>
      <c r="B10" s="4" t="n">
        <v>85.45</v>
      </c>
      <c r="C10" s="5" t="n">
        <v>1892</v>
      </c>
      <c r="D10" s="5" t="n">
        <v>1043</v>
      </c>
      <c r="E10" s="5" t="n">
        <v>42</v>
      </c>
      <c r="F10" s="5" t="n">
        <v>21</v>
      </c>
      <c r="G10" s="5" t="n">
        <v>1</v>
      </c>
      <c r="H10" s="5" t="n">
        <v>1</v>
      </c>
      <c r="I10" s="5" t="n">
        <v>28</v>
      </c>
      <c r="J10" s="5" t="n">
        <v>6</v>
      </c>
      <c r="K10" s="5" t="n">
        <v>0</v>
      </c>
      <c r="L10" s="5" t="n">
        <v>0</v>
      </c>
      <c r="M10" s="5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>
        <f>IF(D10&gt;0,C10/D10,"")</f>
        <v/>
      </c>
      <c r="U10" s="6">
        <f>IF(C10&gt;0,F10/C10,"")</f>
        <v/>
      </c>
      <c r="V10" s="4">
        <f>IF(C10&gt;0,B10/C10*1000,"")</f>
        <v/>
      </c>
      <c r="W10" s="4">
        <f>IF(F10&gt;0,B10/F10,"")</f>
        <v/>
      </c>
      <c r="X10" s="4">
        <f>IF(H10&gt;0,B10/H10,"")</f>
        <v/>
      </c>
      <c r="Y10" s="7">
        <f>IF(F10&gt;0,G10/F10,"")</f>
        <v/>
      </c>
      <c r="Z10" s="7">
        <f>IF(G10&gt;0,H10/G10,"")</f>
        <v/>
      </c>
      <c r="AA10" s="6">
        <f>IF(C10&gt;0,I10/C10,"")</f>
        <v/>
      </c>
      <c r="AB10" s="7">
        <f>IF(C10&gt;0,N10/C10,"")</f>
        <v/>
      </c>
      <c r="AC10" s="7">
        <f>IF(N10&gt;0,R10/N10,"")</f>
        <v/>
      </c>
    </row>
    <row r="11">
      <c r="A11" s="2" t="inlineStr">
        <is>
          <t>HVAC Landing - EN - Same System Two Prices (Tags) - $5,800</t>
        </is>
      </c>
      <c r="B11" s="4" t="n">
        <v>79.55</v>
      </c>
      <c r="C11" s="5" t="n">
        <v>2313</v>
      </c>
      <c r="D11" s="5" t="n">
        <v>1648</v>
      </c>
      <c r="E11" s="5" t="n">
        <v>53</v>
      </c>
      <c r="F11" s="5" t="n">
        <v>39</v>
      </c>
      <c r="G11" s="5" t="n">
        <v>26</v>
      </c>
      <c r="H11" s="5" t="n">
        <v>1</v>
      </c>
      <c r="I11" s="5" t="n">
        <v>45</v>
      </c>
      <c r="J11" s="5" t="n">
        <v>4</v>
      </c>
      <c r="K11" s="5" t="n">
        <v>0</v>
      </c>
      <c r="L11" s="5" t="n">
        <v>2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>
        <f>IF(D11&gt;0,C11/D11,"")</f>
        <v/>
      </c>
      <c r="U11" s="6">
        <f>IF(C11&gt;0,F11/C11,"")</f>
        <v/>
      </c>
      <c r="V11" s="4">
        <f>IF(C11&gt;0,B11/C11*1000,"")</f>
        <v/>
      </c>
      <c r="W11" s="4">
        <f>IF(F11&gt;0,B11/F11,"")</f>
        <v/>
      </c>
      <c r="X11" s="4">
        <f>IF(H11&gt;0,B11/H11,"")</f>
        <v/>
      </c>
      <c r="Y11" s="7">
        <f>IF(F11&gt;0,G11/F11,"")</f>
        <v/>
      </c>
      <c r="Z11" s="7">
        <f>IF(G11&gt;0,H11/G11,"")</f>
        <v/>
      </c>
      <c r="AA11" s="6">
        <f>IF(C11&gt;0,I11/C11,"")</f>
        <v/>
      </c>
      <c r="AB11" s="7">
        <f>IF(C11&gt;0,N11/C11,"")</f>
        <v/>
      </c>
      <c r="AC11" s="7">
        <f>IF(N11&gt;0,R11/N11,"")</f>
        <v/>
      </c>
    </row>
    <row r="12">
      <c r="A12" s="2" t="inlineStr">
        <is>
          <t>Retail Brand Ambassador – Static A1 – Instant Form</t>
        </is>
      </c>
      <c r="B12" s="4" t="n">
        <v>76.19</v>
      </c>
      <c r="C12" s="5" t="n">
        <v>3043</v>
      </c>
      <c r="D12" s="5" t="n">
        <v>1621</v>
      </c>
      <c r="E12" s="5" t="n">
        <v>160</v>
      </c>
      <c r="F12" s="5" t="n">
        <v>80</v>
      </c>
      <c r="G12" s="5" t="n">
        <v>0</v>
      </c>
      <c r="H12" s="5" t="n">
        <v>36</v>
      </c>
      <c r="I12" s="5" t="n">
        <v>93</v>
      </c>
      <c r="J12" s="5" t="n">
        <v>8</v>
      </c>
      <c r="K12" s="5" t="n">
        <v>0</v>
      </c>
      <c r="L12" s="5" t="n">
        <v>3</v>
      </c>
      <c r="M12" s="5" t="n">
        <v>2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>
        <f>IF(D12&gt;0,C12/D12,"")</f>
        <v/>
      </c>
      <c r="U12" s="6">
        <f>IF(C12&gt;0,F12/C12,"")</f>
        <v/>
      </c>
      <c r="V12" s="4">
        <f>IF(C12&gt;0,B12/C12*1000,"")</f>
        <v/>
      </c>
      <c r="W12" s="4">
        <f>IF(F12&gt;0,B12/F12,"")</f>
        <v/>
      </c>
      <c r="X12" s="4">
        <f>IF(H12&gt;0,B12/H12,"")</f>
        <v/>
      </c>
      <c r="Y12" s="7">
        <f>IF(F12&gt;0,G12/F12,"")</f>
        <v/>
      </c>
      <c r="Z12" s="7">
        <f>IF(G12&gt;0,H12/G12,"")</f>
        <v/>
      </c>
      <c r="AA12" s="6">
        <f>IF(C12&gt;0,I12/C12,"")</f>
        <v/>
      </c>
      <c r="AB12" s="7">
        <f>IF(C12&gt;0,N12/C12,"")</f>
        <v/>
      </c>
      <c r="AC12" s="7">
        <f>IF(N12&gt;0,R12/N12,"")</f>
        <v/>
      </c>
    </row>
    <row r="13">
      <c r="A13" s="2" t="inlineStr">
        <is>
          <t>2026-10-05 – Video 25-Year-Old AC – 0% 24mo – EN – Landing</t>
        </is>
      </c>
      <c r="B13" s="4" t="n">
        <v>76.08</v>
      </c>
      <c r="C13" s="5" t="n">
        <v>933</v>
      </c>
      <c r="D13" s="5" t="n">
        <v>726</v>
      </c>
      <c r="E13" s="5" t="n">
        <v>17</v>
      </c>
      <c r="F13" s="5" t="n">
        <v>12</v>
      </c>
      <c r="G13" s="5" t="n">
        <v>6</v>
      </c>
      <c r="H13" s="5" t="n">
        <v>1</v>
      </c>
      <c r="I13" s="5" t="n">
        <v>360</v>
      </c>
      <c r="J13" s="5" t="n">
        <v>1</v>
      </c>
      <c r="K13" s="5" t="n">
        <v>0</v>
      </c>
      <c r="L13" s="5" t="n">
        <v>0</v>
      </c>
      <c r="M13" s="5" t="n">
        <v>1</v>
      </c>
      <c r="N13" s="5" t="n">
        <v>346</v>
      </c>
      <c r="O13" s="5" t="n">
        <v>317</v>
      </c>
      <c r="P13" s="5" t="n">
        <v>164</v>
      </c>
      <c r="Q13" s="5" t="n">
        <v>86</v>
      </c>
      <c r="R13" s="5" t="n">
        <v>39</v>
      </c>
      <c r="S13" s="5" t="n">
        <v>38</v>
      </c>
      <c r="T13" s="8">
        <f>IF(D13&gt;0,C13/D13,"")</f>
        <v/>
      </c>
      <c r="U13" s="6">
        <f>IF(C13&gt;0,F13/C13,"")</f>
        <v/>
      </c>
      <c r="V13" s="4">
        <f>IF(C13&gt;0,B13/C13*1000,"")</f>
        <v/>
      </c>
      <c r="W13" s="4">
        <f>IF(F13&gt;0,B13/F13,"")</f>
        <v/>
      </c>
      <c r="X13" s="4">
        <f>IF(H13&gt;0,B13/H13,"")</f>
        <v/>
      </c>
      <c r="Y13" s="7">
        <f>IF(F13&gt;0,G13/F13,"")</f>
        <v/>
      </c>
      <c r="Z13" s="7">
        <f>IF(G13&gt;0,H13/G13,"")</f>
        <v/>
      </c>
      <c r="AA13" s="6">
        <f>IF(C13&gt;0,I13/C13,"")</f>
        <v/>
      </c>
      <c r="AB13" s="7">
        <f>IF(C13&gt;0,N13/C13,"")</f>
        <v/>
      </c>
      <c r="AC13" s="7">
        <f>IF(N13&gt;0,R13/N13,"")</f>
        <v/>
      </c>
    </row>
    <row r="14">
      <c r="A14" s="2" t="inlineStr">
        <is>
          <t>HVAC Landing - ES - Sin Pagar Todo de Una Vez - 0% 24 Meses</t>
        </is>
      </c>
      <c r="B14" s="4" t="n">
        <v>53.92</v>
      </c>
      <c r="C14" s="5" t="n">
        <v>1265</v>
      </c>
      <c r="D14" s="5" t="n">
        <v>838</v>
      </c>
      <c r="E14" s="5" t="n">
        <v>21</v>
      </c>
      <c r="F14" s="5" t="n">
        <v>20</v>
      </c>
      <c r="G14" s="5" t="n">
        <v>12</v>
      </c>
      <c r="H14" s="5" t="n">
        <v>1</v>
      </c>
      <c r="I14" s="5" t="n">
        <v>22</v>
      </c>
      <c r="J14" s="5" t="n">
        <v>1</v>
      </c>
      <c r="K14" s="5" t="n">
        <v>0</v>
      </c>
      <c r="L14" s="5" t="n">
        <v>0</v>
      </c>
      <c r="M14" s="5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>
        <f>IF(D14&gt;0,C14/D14,"")</f>
        <v/>
      </c>
      <c r="U14" s="6">
        <f>IF(C14&gt;0,F14/C14,"")</f>
        <v/>
      </c>
      <c r="V14" s="4">
        <f>IF(C14&gt;0,B14/C14*1000,"")</f>
        <v/>
      </c>
      <c r="W14" s="4">
        <f>IF(F14&gt;0,B14/F14,"")</f>
        <v/>
      </c>
      <c r="X14" s="4">
        <f>IF(H14&gt;0,B14/H14,"")</f>
        <v/>
      </c>
      <c r="Y14" s="7">
        <f>IF(F14&gt;0,G14/F14,"")</f>
        <v/>
      </c>
      <c r="Z14" s="7">
        <f>IF(G14&gt;0,H14/G14,"")</f>
        <v/>
      </c>
      <c r="AA14" s="6">
        <f>IF(C14&gt;0,I14/C14,"")</f>
        <v/>
      </c>
      <c r="AB14" s="7">
        <f>IF(C14&gt;0,N14/C14,"")</f>
        <v/>
      </c>
      <c r="AC14" s="7">
        <f>IF(N14&gt;0,R14/N14,"")</f>
        <v/>
      </c>
    </row>
    <row r="15">
      <c r="A15" s="2" t="inlineStr">
        <is>
          <t>2026-09-28 – Instalación AC Miami-Dade – $5,800 – ES Hiperlocal</t>
        </is>
      </c>
      <c r="B15" s="4" t="n">
        <v>53.31</v>
      </c>
      <c r="C15" s="5" t="n">
        <v>1406</v>
      </c>
      <c r="D15" s="5" t="n">
        <v>863</v>
      </c>
      <c r="E15" s="5" t="n">
        <v>14</v>
      </c>
      <c r="F15" s="5" t="n">
        <v>9</v>
      </c>
      <c r="G15" s="5" t="n">
        <v>0</v>
      </c>
      <c r="H15" s="5" t="n">
        <v>2</v>
      </c>
      <c r="I15" s="5" t="n">
        <v>10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>
        <f>IF(D15&gt;0,C15/D15,"")</f>
        <v/>
      </c>
      <c r="U15" s="6">
        <f>IF(C15&gt;0,F15/C15,"")</f>
        <v/>
      </c>
      <c r="V15" s="4">
        <f>IF(C15&gt;0,B15/C15*1000,"")</f>
        <v/>
      </c>
      <c r="W15" s="4">
        <f>IF(F15&gt;0,B15/F15,"")</f>
        <v/>
      </c>
      <c r="X15" s="4">
        <f>IF(H15&gt;0,B15/H15,"")</f>
        <v/>
      </c>
      <c r="Y15" s="7">
        <f>IF(F15&gt;0,G15/F15,"")</f>
        <v/>
      </c>
      <c r="Z15" s="7">
        <f>IF(G15&gt;0,H15/G15,"")</f>
        <v/>
      </c>
      <c r="AA15" s="6">
        <f>IF(C15&gt;0,I15/C15,"")</f>
        <v/>
      </c>
      <c r="AB15" s="7">
        <f>IF(C15&gt;0,N15/C15,"")</f>
        <v/>
      </c>
      <c r="AC15" s="7">
        <f>IF(N15&gt;0,R15/N15,"")</f>
        <v/>
      </c>
    </row>
    <row r="16">
      <c r="A16" s="2" t="inlineStr">
        <is>
          <t>HVAC Landing - ES - Mismo Sistema Dos Precios (Etiquetas) - $5,800</t>
        </is>
      </c>
      <c r="B16" s="4" t="n">
        <v>52.82</v>
      </c>
      <c r="C16" s="5" t="n">
        <v>1898</v>
      </c>
      <c r="D16" s="5" t="n">
        <v>1288</v>
      </c>
      <c r="E16" s="5" t="n">
        <v>44</v>
      </c>
      <c r="F16" s="5" t="n">
        <v>34</v>
      </c>
      <c r="G16" s="5" t="n">
        <v>18</v>
      </c>
      <c r="H16" s="5" t="n">
        <v>0</v>
      </c>
      <c r="I16" s="5" t="n">
        <v>37</v>
      </c>
      <c r="J16" s="5" t="n">
        <v>1</v>
      </c>
      <c r="K16" s="5" t="n">
        <v>2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>
        <f>IF(D16&gt;0,C16/D16,"")</f>
        <v/>
      </c>
      <c r="U16" s="6">
        <f>IF(C16&gt;0,F16/C16,"")</f>
        <v/>
      </c>
      <c r="V16" s="4">
        <f>IF(C16&gt;0,B16/C16*1000,"")</f>
        <v/>
      </c>
      <c r="W16" s="4">
        <f>IF(F16&gt;0,B16/F16,"")</f>
        <v/>
      </c>
      <c r="X16" s="4">
        <f>IF(H16&gt;0,B16/H16,"")</f>
        <v/>
      </c>
      <c r="Y16" s="7">
        <f>IF(F16&gt;0,G16/F16,"")</f>
        <v/>
      </c>
      <c r="Z16" s="7">
        <f>IF(G16&gt;0,H16/G16,"")</f>
        <v/>
      </c>
      <c r="AA16" s="6">
        <f>IF(C16&gt;0,I16/C16,"")</f>
        <v/>
      </c>
      <c r="AB16" s="7">
        <f>IF(C16&gt;0,N16/C16,"")</f>
        <v/>
      </c>
      <c r="AC16" s="7">
        <f>IF(N16&gt;0,R16/N16,"")</f>
        <v/>
      </c>
    </row>
    <row r="17">
      <c r="A17" s="2" t="inlineStr">
        <is>
          <t>Plumbing Landing - EN - When Was It Last Flushed - Flush $149</t>
        </is>
      </c>
      <c r="B17" s="4" t="n">
        <v>45.48</v>
      </c>
      <c r="C17" s="5" t="n">
        <v>1974</v>
      </c>
      <c r="D17" s="5" t="n">
        <v>1051</v>
      </c>
      <c r="E17" s="5" t="n">
        <v>54</v>
      </c>
      <c r="F17" s="5" t="n">
        <v>55</v>
      </c>
      <c r="G17" s="5" t="n">
        <v>35</v>
      </c>
      <c r="H17" s="5" t="n">
        <v>0</v>
      </c>
      <c r="I17" s="5" t="n">
        <v>55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>
        <f>IF(D17&gt;0,C17/D17,"")</f>
        <v/>
      </c>
      <c r="U17" s="6">
        <f>IF(C17&gt;0,F17/C17,"")</f>
        <v/>
      </c>
      <c r="V17" s="4">
        <f>IF(C17&gt;0,B17/C17*1000,"")</f>
        <v/>
      </c>
      <c r="W17" s="4">
        <f>IF(F17&gt;0,B17/F17,"")</f>
        <v/>
      </c>
      <c r="X17" s="4">
        <f>IF(H17&gt;0,B17/H17,"")</f>
        <v/>
      </c>
      <c r="Y17" s="7">
        <f>IF(F17&gt;0,G17/F17,"")</f>
        <v/>
      </c>
      <c r="Z17" s="7">
        <f>IF(G17&gt;0,H17/G17,"")</f>
        <v/>
      </c>
      <c r="AA17" s="6">
        <f>IF(C17&gt;0,I17/C17,"")</f>
        <v/>
      </c>
      <c r="AB17" s="7">
        <f>IF(C17&gt;0,N17/C17,"")</f>
        <v/>
      </c>
      <c r="AC17" s="7">
        <f>IF(N17&gt;0,R17/N17,"")</f>
        <v/>
      </c>
    </row>
    <row r="18">
      <c r="A18" s="2" t="inlineStr">
        <is>
          <t>2026-10-05 – 0% Interest 24 Months – $5,800 – EN – Landing</t>
        </is>
      </c>
      <c r="B18" s="4" t="n">
        <v>44.12</v>
      </c>
      <c r="C18" s="5" t="n">
        <v>451</v>
      </c>
      <c r="D18" s="5" t="n">
        <v>264</v>
      </c>
      <c r="E18" s="5" t="n">
        <v>15</v>
      </c>
      <c r="F18" s="5" t="n">
        <v>12</v>
      </c>
      <c r="G18" s="5" t="n">
        <v>8</v>
      </c>
      <c r="H18" s="5" t="n">
        <v>0</v>
      </c>
      <c r="I18" s="5" t="n">
        <v>12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>
        <f>IF(D18&gt;0,C18/D18,"")</f>
        <v/>
      </c>
      <c r="U18" s="6">
        <f>IF(C18&gt;0,F18/C18,"")</f>
        <v/>
      </c>
      <c r="V18" s="4">
        <f>IF(C18&gt;0,B18/C18*1000,"")</f>
        <v/>
      </c>
      <c r="W18" s="4">
        <f>IF(F18&gt;0,B18/F18,"")</f>
        <v/>
      </c>
      <c r="X18" s="4">
        <f>IF(H18&gt;0,B18/H18,"")</f>
        <v/>
      </c>
      <c r="Y18" s="7">
        <f>IF(F18&gt;0,G18/F18,"")</f>
        <v/>
      </c>
      <c r="Z18" s="7">
        <f>IF(G18&gt;0,H18/G18,"")</f>
        <v/>
      </c>
      <c r="AA18" s="6">
        <f>IF(C18&gt;0,I18/C18,"")</f>
        <v/>
      </c>
      <c r="AB18" s="7">
        <f>IF(C18&gt;0,N18/C18,"")</f>
        <v/>
      </c>
      <c r="AC18" s="7">
        <f>IF(N18&gt;0,R18/N18,"")</f>
        <v/>
      </c>
    </row>
    <row r="19">
      <c r="A19" s="2" t="inlineStr">
        <is>
          <t>2026-10-06 – Precio Claro Editorial – $5,800 – ES Hiperlocal – Landing</t>
        </is>
      </c>
      <c r="B19" s="4" t="n">
        <v>42.02</v>
      </c>
      <c r="C19" s="5" t="n">
        <v>728</v>
      </c>
      <c r="D19" s="5" t="n">
        <v>511</v>
      </c>
      <c r="E19" s="5" t="n">
        <v>6</v>
      </c>
      <c r="F19" s="5" t="n">
        <v>3</v>
      </c>
      <c r="G19" s="5" t="n">
        <v>3</v>
      </c>
      <c r="H19" s="5" t="n">
        <v>0</v>
      </c>
      <c r="I19" s="5" t="n">
        <v>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>
        <f>IF(D19&gt;0,C19/D19,"")</f>
        <v/>
      </c>
      <c r="U19" s="6">
        <f>IF(C19&gt;0,F19/C19,"")</f>
        <v/>
      </c>
      <c r="V19" s="4">
        <f>IF(C19&gt;0,B19/C19*1000,"")</f>
        <v/>
      </c>
      <c r="W19" s="4">
        <f>IF(F19&gt;0,B19/F19,"")</f>
        <v/>
      </c>
      <c r="X19" s="4">
        <f>IF(H19&gt;0,B19/H19,"")</f>
        <v/>
      </c>
      <c r="Y19" s="7">
        <f>IF(F19&gt;0,G19/F19,"")</f>
        <v/>
      </c>
      <c r="Z19" s="7">
        <f>IF(G19&gt;0,H19/G19,"")</f>
        <v/>
      </c>
      <c r="AA19" s="6">
        <f>IF(C19&gt;0,I19/C19,"")</f>
        <v/>
      </c>
      <c r="AB19" s="7">
        <f>IF(C19&gt;0,N19/C19,"")</f>
        <v/>
      </c>
      <c r="AC19" s="7">
        <f>IF(N19&gt;0,R19/N19,"")</f>
        <v/>
      </c>
    </row>
    <row r="20">
      <c r="A20" s="2" t="inlineStr">
        <is>
          <t>HVAC Landing - ES - Instalación AC Miami-Dade (mejor vendido) - $5,800</t>
        </is>
      </c>
      <c r="B20" s="4" t="n">
        <v>40.13</v>
      </c>
      <c r="C20" s="5" t="n">
        <v>1061</v>
      </c>
      <c r="D20" s="5" t="n">
        <v>779</v>
      </c>
      <c r="E20" s="5" t="n">
        <v>17</v>
      </c>
      <c r="F20" s="5" t="n">
        <v>11</v>
      </c>
      <c r="G20" s="5" t="n">
        <v>7</v>
      </c>
      <c r="H20" s="5" t="n">
        <v>0</v>
      </c>
      <c r="I20" s="5" t="n">
        <v>13</v>
      </c>
      <c r="J20" s="5" t="n">
        <v>2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>
        <f>IF(D20&gt;0,C20/D20,"")</f>
        <v/>
      </c>
      <c r="U20" s="6">
        <f>IF(C20&gt;0,F20/C20,"")</f>
        <v/>
      </c>
      <c r="V20" s="4">
        <f>IF(C20&gt;0,B20/C20*1000,"")</f>
        <v/>
      </c>
      <c r="W20" s="4">
        <f>IF(F20&gt;0,B20/F20,"")</f>
        <v/>
      </c>
      <c r="X20" s="4">
        <f>IF(H20&gt;0,B20/H20,"")</f>
        <v/>
      </c>
      <c r="Y20" s="7">
        <f>IF(F20&gt;0,G20/F20,"")</f>
        <v/>
      </c>
      <c r="Z20" s="7">
        <f>IF(G20&gt;0,H20/G20,"")</f>
        <v/>
      </c>
      <c r="AA20" s="6">
        <f>IF(C20&gt;0,I20/C20,"")</f>
        <v/>
      </c>
      <c r="AB20" s="7">
        <f>IF(C20&gt;0,N20/C20,"")</f>
        <v/>
      </c>
      <c r="AC20" s="7">
        <f>IF(N20&gt;0,R20/N20,"")</f>
        <v/>
      </c>
    </row>
    <row r="21">
      <c r="A21" s="2" t="inlineStr">
        <is>
          <t>HVAC Landing - EN - No Big Upfront Bill - 0% 24mo</t>
        </is>
      </c>
      <c r="B21" s="4" t="n">
        <v>39.01</v>
      </c>
      <c r="C21" s="5" t="n">
        <v>1116</v>
      </c>
      <c r="D21" s="5" t="n">
        <v>887</v>
      </c>
      <c r="E21" s="5" t="n">
        <v>11</v>
      </c>
      <c r="F21" s="5" t="n">
        <v>8</v>
      </c>
      <c r="G21" s="5" t="n">
        <v>8</v>
      </c>
      <c r="H21" s="5" t="n">
        <v>0</v>
      </c>
      <c r="I21" s="5" t="n">
        <v>8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>
        <f>IF(D21&gt;0,C21/D21,"")</f>
        <v/>
      </c>
      <c r="U21" s="6">
        <f>IF(C21&gt;0,F21/C21,"")</f>
        <v/>
      </c>
      <c r="V21" s="4">
        <f>IF(C21&gt;0,B21/C21*1000,"")</f>
        <v/>
      </c>
      <c r="W21" s="4">
        <f>IF(F21&gt;0,B21/F21,"")</f>
        <v/>
      </c>
      <c r="X21" s="4">
        <f>IF(H21&gt;0,B21/H21,"")</f>
        <v/>
      </c>
      <c r="Y21" s="7">
        <f>IF(F21&gt;0,G21/F21,"")</f>
        <v/>
      </c>
      <c r="Z21" s="7">
        <f>IF(G21&gt;0,H21/G21,"")</f>
        <v/>
      </c>
      <c r="AA21" s="6">
        <f>IF(C21&gt;0,I21/C21,"")</f>
        <v/>
      </c>
      <c r="AB21" s="7">
        <f>IF(C21&gt;0,N21/C21,"")</f>
        <v/>
      </c>
      <c r="AC21" s="7">
        <f>IF(N21&gt;0,R21/N21,"")</f>
        <v/>
      </c>
    </row>
    <row r="22">
      <c r="A22" s="2" t="inlineStr">
        <is>
          <t>Plumbing Landing - EN - Tank Flush $149 (best seller)</t>
        </is>
      </c>
      <c r="B22" s="4" t="n">
        <v>26.94</v>
      </c>
      <c r="C22" s="5" t="n">
        <v>850</v>
      </c>
      <c r="D22" s="5" t="n">
        <v>685</v>
      </c>
      <c r="E22" s="5" t="n">
        <v>12</v>
      </c>
      <c r="F22" s="5" t="n">
        <v>8</v>
      </c>
      <c r="G22" s="5" t="n">
        <v>7</v>
      </c>
      <c r="H22" s="5" t="n">
        <v>1</v>
      </c>
      <c r="I22" s="5" t="n">
        <v>8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>
        <f>IF(D22&gt;0,C22/D22,"")</f>
        <v/>
      </c>
      <c r="U22" s="6">
        <f>IF(C22&gt;0,F22/C22,"")</f>
        <v/>
      </c>
      <c r="V22" s="4">
        <f>IF(C22&gt;0,B22/C22*1000,"")</f>
        <v/>
      </c>
      <c r="W22" s="4">
        <f>IF(F22&gt;0,B22/F22,"")</f>
        <v/>
      </c>
      <c r="X22" s="4">
        <f>IF(H22&gt;0,B22/H22,"")</f>
        <v/>
      </c>
      <c r="Y22" s="7">
        <f>IF(F22&gt;0,G22/F22,"")</f>
        <v/>
      </c>
      <c r="Z22" s="7">
        <f>IF(G22&gt;0,H22/G22,"")</f>
        <v/>
      </c>
      <c r="AA22" s="6">
        <f>IF(C22&gt;0,I22/C22,"")</f>
        <v/>
      </c>
      <c r="AB22" s="7">
        <f>IF(C22&gt;0,N22/C22,"")</f>
        <v/>
      </c>
      <c r="AC22" s="7">
        <f>IF(N22&gt;0,R22/N22,"")</f>
        <v/>
      </c>
    </row>
    <row r="23">
      <c r="A23" s="2" t="inlineStr">
        <is>
          <t>Plumbing Landing - EN - Never Flushed vs Flushed - Flush $149</t>
        </is>
      </c>
      <c r="B23" s="4" t="n">
        <v>25.29</v>
      </c>
      <c r="C23" s="5" t="n">
        <v>757</v>
      </c>
      <c r="D23" s="5" t="n">
        <v>587</v>
      </c>
      <c r="E23" s="5" t="n">
        <v>34</v>
      </c>
      <c r="F23" s="5" t="n">
        <v>28</v>
      </c>
      <c r="G23" s="5" t="n">
        <v>22</v>
      </c>
      <c r="H23" s="5" t="n">
        <v>0</v>
      </c>
      <c r="I23" s="5" t="n">
        <v>28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>
        <f>IF(D23&gt;0,C23/D23,"")</f>
        <v/>
      </c>
      <c r="U23" s="6">
        <f>IF(C23&gt;0,F23/C23,"")</f>
        <v/>
      </c>
      <c r="V23" s="4">
        <f>IF(C23&gt;0,B23/C23*1000,"")</f>
        <v/>
      </c>
      <c r="W23" s="4">
        <f>IF(F23&gt;0,B23/F23,"")</f>
        <v/>
      </c>
      <c r="X23" s="4">
        <f>IF(H23&gt;0,B23/H23,"")</f>
        <v/>
      </c>
      <c r="Y23" s="7">
        <f>IF(F23&gt;0,G23/F23,"")</f>
        <v/>
      </c>
      <c r="Z23" s="7">
        <f>IF(G23&gt;0,H23/G23,"")</f>
        <v/>
      </c>
      <c r="AA23" s="6">
        <f>IF(C23&gt;0,I23/C23,"")</f>
        <v/>
      </c>
      <c r="AB23" s="7">
        <f>IF(C23&gt;0,N23/C23,"")</f>
        <v/>
      </c>
      <c r="AC23" s="7">
        <f>IF(N23&gt;0,R23/N23,"")</f>
        <v/>
      </c>
    </row>
    <row r="24">
      <c r="A24" s="2" t="inlineStr">
        <is>
          <t>2026-10-08 – Video 25-Year-Old AC – EN</t>
        </is>
      </c>
      <c r="B24" s="4" t="n">
        <v>21.24</v>
      </c>
      <c r="C24" s="5" t="n">
        <v>207</v>
      </c>
      <c r="D24" s="5" t="n">
        <v>171</v>
      </c>
      <c r="E24" s="5" t="n">
        <v>7</v>
      </c>
      <c r="F24" s="5" t="n">
        <v>2</v>
      </c>
      <c r="G24" s="5" t="n">
        <v>1</v>
      </c>
      <c r="H24" s="5" t="n">
        <v>0</v>
      </c>
      <c r="I24" s="5" t="n">
        <v>55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53</v>
      </c>
      <c r="O24" s="5" t="n">
        <v>47</v>
      </c>
      <c r="P24" s="5" t="n">
        <v>29</v>
      </c>
      <c r="Q24" s="5" t="n">
        <v>13</v>
      </c>
      <c r="R24" s="5" t="n">
        <v>7</v>
      </c>
      <c r="S24" s="5" t="n">
        <v>8</v>
      </c>
      <c r="T24" s="8">
        <f>IF(D24&gt;0,C24/D24,"")</f>
        <v/>
      </c>
      <c r="U24" s="6">
        <f>IF(C24&gt;0,F24/C24,"")</f>
        <v/>
      </c>
      <c r="V24" s="4">
        <f>IF(C24&gt;0,B24/C24*1000,"")</f>
        <v/>
      </c>
      <c r="W24" s="4">
        <f>IF(F24&gt;0,B24/F24,"")</f>
        <v/>
      </c>
      <c r="X24" s="4">
        <f>IF(H24&gt;0,B24/H24,"")</f>
        <v/>
      </c>
      <c r="Y24" s="7">
        <f>IF(F24&gt;0,G24/F24,"")</f>
        <v/>
      </c>
      <c r="Z24" s="7">
        <f>IF(G24&gt;0,H24/G24,"")</f>
        <v/>
      </c>
      <c r="AA24" s="6">
        <f>IF(C24&gt;0,I24/C24,"")</f>
        <v/>
      </c>
      <c r="AB24" s="7">
        <f>IF(C24&gt;0,N24/C24,"")</f>
        <v/>
      </c>
      <c r="AC24" s="7">
        <f>IF(N24&gt;0,R24/N24,"")</f>
        <v/>
      </c>
    </row>
    <row r="25">
      <c r="A25" s="2" t="inlineStr">
        <is>
          <t>2026-10-05 – Before You Sign v3 – $5,800 – EN – Landing</t>
        </is>
      </c>
      <c r="B25" s="4" t="n">
        <v>21.05</v>
      </c>
      <c r="C25" s="5" t="n">
        <v>261</v>
      </c>
      <c r="D25" s="5" t="n">
        <v>182</v>
      </c>
      <c r="E25" s="5" t="n">
        <v>5</v>
      </c>
      <c r="F25" s="5" t="n">
        <v>4</v>
      </c>
      <c r="G25" s="5" t="n">
        <v>2</v>
      </c>
      <c r="H25" s="5" t="n">
        <v>0</v>
      </c>
      <c r="I25" s="5" t="n">
        <v>4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>
        <f>IF(D25&gt;0,C25/D25,"")</f>
        <v/>
      </c>
      <c r="U25" s="6">
        <f>IF(C25&gt;0,F25/C25,"")</f>
        <v/>
      </c>
      <c r="V25" s="4">
        <f>IF(C25&gt;0,B25/C25*1000,"")</f>
        <v/>
      </c>
      <c r="W25" s="4">
        <f>IF(F25&gt;0,B25/F25,"")</f>
        <v/>
      </c>
      <c r="X25" s="4">
        <f>IF(H25&gt;0,B25/H25,"")</f>
        <v/>
      </c>
      <c r="Y25" s="7">
        <f>IF(F25&gt;0,G25/F25,"")</f>
        <v/>
      </c>
      <c r="Z25" s="7">
        <f>IF(G25&gt;0,H25/G25,"")</f>
        <v/>
      </c>
      <c r="AA25" s="6">
        <f>IF(C25&gt;0,I25/C25,"")</f>
        <v/>
      </c>
      <c r="AB25" s="7">
        <f>IF(C25&gt;0,N25/C25,"")</f>
        <v/>
      </c>
      <c r="AC25" s="7">
        <f>IF(N25&gt;0,R25/N25,"")</f>
        <v/>
      </c>
    </row>
    <row r="26">
      <c r="A26" s="2" t="inlineStr">
        <is>
          <t>2026-09-24 – Video 25-Year-Old AC – 0% 24mo – EN</t>
        </is>
      </c>
      <c r="B26" s="4" t="n">
        <v>20.22</v>
      </c>
      <c r="C26" s="5" t="n">
        <v>300</v>
      </c>
      <c r="D26" s="5" t="n">
        <v>283</v>
      </c>
      <c r="E26" s="5" t="n">
        <v>7</v>
      </c>
      <c r="F26" s="5" t="n">
        <v>7</v>
      </c>
      <c r="G26" s="5" t="n">
        <v>1</v>
      </c>
      <c r="H26" s="5" t="n">
        <v>0</v>
      </c>
      <c r="I26" s="5" t="n">
        <v>147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140</v>
      </c>
      <c r="O26" s="5" t="n">
        <v>130</v>
      </c>
      <c r="P26" s="5" t="n">
        <v>75</v>
      </c>
      <c r="Q26" s="5" t="n">
        <v>32</v>
      </c>
      <c r="R26" s="5" t="n">
        <v>12</v>
      </c>
      <c r="S26" s="5" t="n">
        <v>13</v>
      </c>
      <c r="T26" s="8">
        <f>IF(D26&gt;0,C26/D26,"")</f>
        <v/>
      </c>
      <c r="U26" s="6">
        <f>IF(C26&gt;0,F26/C26,"")</f>
        <v/>
      </c>
      <c r="V26" s="4">
        <f>IF(C26&gt;0,B26/C26*1000,"")</f>
        <v/>
      </c>
      <c r="W26" s="4">
        <f>IF(F26&gt;0,B26/F26,"")</f>
        <v/>
      </c>
      <c r="X26" s="4">
        <f>IF(H26&gt;0,B26/H26,"")</f>
        <v/>
      </c>
      <c r="Y26" s="7">
        <f>IF(F26&gt;0,G26/F26,"")</f>
        <v/>
      </c>
      <c r="Z26" s="7">
        <f>IF(G26&gt;0,H26/G26,"")</f>
        <v/>
      </c>
      <c r="AA26" s="6">
        <f>IF(C26&gt;0,I26/C26,"")</f>
        <v/>
      </c>
      <c r="AB26" s="7">
        <f>IF(C26&gt;0,N26/C26,"")</f>
        <v/>
      </c>
      <c r="AC26" s="7">
        <f>IF(N26&gt;0,R26/N26,"")</f>
        <v/>
      </c>
    </row>
    <row r="27">
      <c r="A27" s="2" t="inlineStr">
        <is>
          <t>Comfort Advisor 2026 - Instant Form</t>
        </is>
      </c>
      <c r="B27" s="4" t="n">
        <v>17.03</v>
      </c>
      <c r="C27" s="5" t="n">
        <v>865</v>
      </c>
      <c r="D27" s="5" t="n">
        <v>520</v>
      </c>
      <c r="E27" s="5" t="n">
        <v>28</v>
      </c>
      <c r="F27" s="5" t="n">
        <v>9</v>
      </c>
      <c r="G27" s="5" t="n">
        <v>0</v>
      </c>
      <c r="H27" s="5" t="n">
        <v>2</v>
      </c>
      <c r="I27" s="5" t="n">
        <v>111</v>
      </c>
      <c r="J27" s="5" t="n">
        <v>0</v>
      </c>
      <c r="K27" s="5" t="n">
        <v>2</v>
      </c>
      <c r="L27" s="5" t="n">
        <v>0</v>
      </c>
      <c r="M27" s="5" t="n">
        <v>1</v>
      </c>
      <c r="N27" s="5" t="n">
        <v>99</v>
      </c>
      <c r="O27" s="5" t="n">
        <v>60</v>
      </c>
      <c r="P27" s="5" t="n">
        <v>30</v>
      </c>
      <c r="Q27" s="5" t="n">
        <v>20</v>
      </c>
      <c r="R27" s="5" t="n">
        <v>14</v>
      </c>
      <c r="S27" s="5" t="n">
        <v>24</v>
      </c>
      <c r="T27" s="8">
        <f>IF(D27&gt;0,C27/D27,"")</f>
        <v/>
      </c>
      <c r="U27" s="6">
        <f>IF(C27&gt;0,F27/C27,"")</f>
        <v/>
      </c>
      <c r="V27" s="4">
        <f>IF(C27&gt;0,B27/C27*1000,"")</f>
        <v/>
      </c>
      <c r="W27" s="4">
        <f>IF(F27&gt;0,B27/F27,"")</f>
        <v/>
      </c>
      <c r="X27" s="4">
        <f>IF(H27&gt;0,B27/H27,"")</f>
        <v/>
      </c>
      <c r="Y27" s="7">
        <f>IF(F27&gt;0,G27/F27,"")</f>
        <v/>
      </c>
      <c r="Z27" s="7">
        <f>IF(G27&gt;0,H27/G27,"")</f>
        <v/>
      </c>
      <c r="AA27" s="6">
        <f>IF(C27&gt;0,I27/C27,"")</f>
        <v/>
      </c>
      <c r="AB27" s="7">
        <f>IF(C27&gt;0,N27/C27,"")</f>
        <v/>
      </c>
      <c r="AC27" s="7">
        <f>IF(N27&gt;0,R27/N27,"")</f>
        <v/>
      </c>
    </row>
    <row r="28">
      <c r="A28" s="2" t="inlineStr">
        <is>
          <t>CSR Colombia – Static N1 – Tu inglés C1 vale más</t>
        </is>
      </c>
      <c r="B28" s="4" t="n">
        <v>15.81</v>
      </c>
      <c r="C28" s="5" t="n">
        <v>5010</v>
      </c>
      <c r="D28" s="5" t="n">
        <v>3178</v>
      </c>
      <c r="E28" s="5" t="n">
        <v>422</v>
      </c>
      <c r="F28" s="5" t="n">
        <v>179</v>
      </c>
      <c r="G28" s="5" t="n">
        <v>3</v>
      </c>
      <c r="H28" s="5" t="n">
        <v>130</v>
      </c>
      <c r="I28" s="5" t="n">
        <v>201</v>
      </c>
      <c r="J28" s="5" t="n">
        <v>11</v>
      </c>
      <c r="K28" s="5" t="n">
        <v>0</v>
      </c>
      <c r="L28" s="5" t="n">
        <v>5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8">
        <f>IF(D28&gt;0,C28/D28,"")</f>
        <v/>
      </c>
      <c r="U28" s="6">
        <f>IF(C28&gt;0,F28/C28,"")</f>
        <v/>
      </c>
      <c r="V28" s="4">
        <f>IF(C28&gt;0,B28/C28*1000,"")</f>
        <v/>
      </c>
      <c r="W28" s="4">
        <f>IF(F28&gt;0,B28/F28,"")</f>
        <v/>
      </c>
      <c r="X28" s="4">
        <f>IF(H28&gt;0,B28/H28,"")</f>
        <v/>
      </c>
      <c r="Y28" s="7">
        <f>IF(F28&gt;0,G28/F28,"")</f>
        <v/>
      </c>
      <c r="Z28" s="7">
        <f>IF(G28&gt;0,H28/G28,"")</f>
        <v/>
      </c>
      <c r="AA28" s="6">
        <f>IF(C28&gt;0,I28/C28,"")</f>
        <v/>
      </c>
      <c r="AB28" s="7">
        <f>IF(C28&gt;0,N28/C28,"")</f>
        <v/>
      </c>
      <c r="AC28" s="7">
        <f>IF(N28&gt;0,R28/N28,"")</f>
        <v/>
      </c>
    </row>
    <row r="29">
      <c r="A29" s="2" t="inlineStr">
        <is>
          <t>2026-10-06 – Plumbing – Leak Stain – EN – Landing</t>
        </is>
      </c>
      <c r="B29" s="4" t="n">
        <v>12.72</v>
      </c>
      <c r="C29" s="5" t="n">
        <v>2849</v>
      </c>
      <c r="D29" s="5" t="n">
        <v>850</v>
      </c>
      <c r="E29" s="5" t="n">
        <v>25</v>
      </c>
      <c r="F29" s="5" t="n">
        <v>27</v>
      </c>
      <c r="G29" s="5" t="n">
        <v>13</v>
      </c>
      <c r="H29" s="5" t="n">
        <v>0</v>
      </c>
      <c r="I29" s="5" t="n">
        <v>28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8">
        <f>IF(D29&gt;0,C29/D29,"")</f>
        <v/>
      </c>
      <c r="U29" s="6">
        <f>IF(C29&gt;0,F29/C29,"")</f>
        <v/>
      </c>
      <c r="V29" s="4">
        <f>IF(C29&gt;0,B29/C29*1000,"")</f>
        <v/>
      </c>
      <c r="W29" s="4">
        <f>IF(F29&gt;0,B29/F29,"")</f>
        <v/>
      </c>
      <c r="X29" s="4">
        <f>IF(H29&gt;0,B29/H29,"")</f>
        <v/>
      </c>
      <c r="Y29" s="7">
        <f>IF(F29&gt;0,G29/F29,"")</f>
        <v/>
      </c>
      <c r="Z29" s="7">
        <f>IF(G29&gt;0,H29/G29,"")</f>
        <v/>
      </c>
      <c r="AA29" s="6">
        <f>IF(C29&gt;0,I29/C29,"")</f>
        <v/>
      </c>
      <c r="AB29" s="7">
        <f>IF(C29&gt;0,N29/C29,"")</f>
        <v/>
      </c>
      <c r="AC29" s="7">
        <f>IF(N29&gt;0,R29/N29,"")</f>
        <v/>
      </c>
    </row>
    <row r="30">
      <c r="A30" s="2" t="inlineStr">
        <is>
          <t>HVAC Landing - EN - Beat the Heat 0% 24mo (best seller) - $5,800</t>
        </is>
      </c>
      <c r="B30" s="4" t="n">
        <v>11.77</v>
      </c>
      <c r="C30" s="5" t="n">
        <v>427</v>
      </c>
      <c r="D30" s="5" t="n">
        <v>369</v>
      </c>
      <c r="E30" s="5" t="n">
        <v>8</v>
      </c>
      <c r="F30" s="5" t="n">
        <v>5</v>
      </c>
      <c r="G30" s="5" t="n">
        <v>3</v>
      </c>
      <c r="H30" s="5" t="n">
        <v>0</v>
      </c>
      <c r="I30" s="5" t="n">
        <v>6</v>
      </c>
      <c r="J30" s="5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8">
        <f>IF(D30&gt;0,C30/D30,"")</f>
        <v/>
      </c>
      <c r="U30" s="6">
        <f>IF(C30&gt;0,F30/C30,"")</f>
        <v/>
      </c>
      <c r="V30" s="4">
        <f>IF(C30&gt;0,B30/C30*1000,"")</f>
        <v/>
      </c>
      <c r="W30" s="4">
        <f>IF(F30&gt;0,B30/F30,"")</f>
        <v/>
      </c>
      <c r="X30" s="4">
        <f>IF(H30&gt;0,B30/H30,"")</f>
        <v/>
      </c>
      <c r="Y30" s="7">
        <f>IF(F30&gt;0,G30/F30,"")</f>
        <v/>
      </c>
      <c r="Z30" s="7">
        <f>IF(G30&gt;0,H30/G30,"")</f>
        <v/>
      </c>
      <c r="AA30" s="6">
        <f>IF(C30&gt;0,I30/C30,"")</f>
        <v/>
      </c>
      <c r="AB30" s="7">
        <f>IF(C30&gt;0,N30/C30,"")</f>
        <v/>
      </c>
      <c r="AC30" s="7">
        <f>IF(N30&gt;0,R30/N30,"")</f>
        <v/>
      </c>
    </row>
    <row r="31">
      <c r="A31" s="2" t="inlineStr">
        <is>
          <t>2026-10-08 – Antes de Firmar v3 – ES</t>
        </is>
      </c>
      <c r="B31" s="4" t="n">
        <v>11.36</v>
      </c>
      <c r="C31" s="5" t="n">
        <v>119</v>
      </c>
      <c r="D31" s="5" t="n">
        <v>82</v>
      </c>
      <c r="E31" s="5" t="n">
        <v>1</v>
      </c>
      <c r="F31" s="5" t="n">
        <v>1</v>
      </c>
      <c r="G31" s="5" t="n">
        <v>1</v>
      </c>
      <c r="H31" s="5" t="n">
        <v>0</v>
      </c>
      <c r="I31" s="5" t="n">
        <v>2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8">
        <f>IF(D31&gt;0,C31/D31,"")</f>
        <v/>
      </c>
      <c r="U31" s="6">
        <f>IF(C31&gt;0,F31/C31,"")</f>
        <v/>
      </c>
      <c r="V31" s="4">
        <f>IF(C31&gt;0,B31/C31*1000,"")</f>
        <v/>
      </c>
      <c r="W31" s="4">
        <f>IF(F31&gt;0,B31/F31,"")</f>
        <v/>
      </c>
      <c r="X31" s="4">
        <f>IF(H31&gt;0,B31/H31,"")</f>
        <v/>
      </c>
      <c r="Y31" s="7">
        <f>IF(F31&gt;0,G31/F31,"")</f>
        <v/>
      </c>
      <c r="Z31" s="7">
        <f>IF(G31&gt;0,H31/G31,"")</f>
        <v/>
      </c>
      <c r="AA31" s="6">
        <f>IF(C31&gt;0,I31/C31,"")</f>
        <v/>
      </c>
      <c r="AB31" s="7">
        <f>IF(C31&gt;0,N31/C31,"")</f>
        <v/>
      </c>
      <c r="AC31" s="7">
        <f>IF(N31&gt;0,R31/N31,"")</f>
        <v/>
      </c>
    </row>
    <row r="32">
      <c r="A32" s="2" t="inlineStr">
        <is>
          <t>Electrical Service Technician – Video – Instant Form</t>
        </is>
      </c>
      <c r="B32" s="4" t="n">
        <v>11.34</v>
      </c>
      <c r="C32" s="5" t="n">
        <v>578</v>
      </c>
      <c r="D32" s="5" t="n">
        <v>449</v>
      </c>
      <c r="E32" s="5" t="n">
        <v>39</v>
      </c>
      <c r="F32" s="5" t="n">
        <v>19</v>
      </c>
      <c r="G32" s="5" t="n">
        <v>0</v>
      </c>
      <c r="H32" s="5" t="n">
        <v>9</v>
      </c>
      <c r="I32" s="5" t="n">
        <v>141</v>
      </c>
      <c r="J32" s="5" t="n">
        <v>4</v>
      </c>
      <c r="K32" s="5" t="n">
        <v>0</v>
      </c>
      <c r="L32" s="5" t="n">
        <v>0</v>
      </c>
      <c r="M32" s="5" t="n">
        <v>0</v>
      </c>
      <c r="N32" s="5" t="n">
        <v>118</v>
      </c>
      <c r="O32" s="5" t="n">
        <v>106</v>
      </c>
      <c r="P32" s="5" t="n">
        <v>72</v>
      </c>
      <c r="Q32" s="5" t="n">
        <v>57</v>
      </c>
      <c r="R32" s="5" t="n">
        <v>37</v>
      </c>
      <c r="S32" s="5" t="n">
        <v>38</v>
      </c>
      <c r="T32" s="8">
        <f>IF(D32&gt;0,C32/D32,"")</f>
        <v/>
      </c>
      <c r="U32" s="6">
        <f>IF(C32&gt;0,F32/C32,"")</f>
        <v/>
      </c>
      <c r="V32" s="4">
        <f>IF(C32&gt;0,B32/C32*1000,"")</f>
        <v/>
      </c>
      <c r="W32" s="4">
        <f>IF(F32&gt;0,B32/F32,"")</f>
        <v/>
      </c>
      <c r="X32" s="4">
        <f>IF(H32&gt;0,B32/H32,"")</f>
        <v/>
      </c>
      <c r="Y32" s="7">
        <f>IF(F32&gt;0,G32/F32,"")</f>
        <v/>
      </c>
      <c r="Z32" s="7">
        <f>IF(G32&gt;0,H32/G32,"")</f>
        <v/>
      </c>
      <c r="AA32" s="6">
        <f>IF(C32&gt;0,I32/C32,"")</f>
        <v/>
      </c>
      <c r="AB32" s="7">
        <f>IF(C32&gt;0,N32/C32,"")</f>
        <v/>
      </c>
      <c r="AC32" s="7">
        <f>IF(N32&gt;0,R32/N32,"")</f>
        <v/>
      </c>
    </row>
    <row r="33">
      <c r="A33" s="2" t="inlineStr">
        <is>
          <t>2026-10-06 – Instalación AC Miami-Dade – $5,800 – ES Hiperlocal – Landing</t>
        </is>
      </c>
      <c r="B33" s="4" t="n">
        <v>9.390000000000001</v>
      </c>
      <c r="C33" s="5" t="n">
        <v>200</v>
      </c>
      <c r="D33" s="5" t="n">
        <v>152</v>
      </c>
      <c r="E33" s="5" t="n">
        <v>2</v>
      </c>
      <c r="F33" s="5" t="n">
        <v>1</v>
      </c>
      <c r="G33" s="5" t="n">
        <v>1</v>
      </c>
      <c r="H33" s="5" t="n">
        <v>0</v>
      </c>
      <c r="I33" s="5" t="n">
        <v>3</v>
      </c>
      <c r="J33" s="5" t="n">
        <v>1</v>
      </c>
      <c r="K33" s="5" t="n">
        <v>0</v>
      </c>
      <c r="L33" s="5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8">
        <f>IF(D33&gt;0,C33/D33,"")</f>
        <v/>
      </c>
      <c r="U33" s="6">
        <f>IF(C33&gt;0,F33/C33,"")</f>
        <v/>
      </c>
      <c r="V33" s="4">
        <f>IF(C33&gt;0,B33/C33*1000,"")</f>
        <v/>
      </c>
      <c r="W33" s="4">
        <f>IF(F33&gt;0,B33/F33,"")</f>
        <v/>
      </c>
      <c r="X33" s="4">
        <f>IF(H33&gt;0,B33/H33,"")</f>
        <v/>
      </c>
      <c r="Y33" s="7">
        <f>IF(F33&gt;0,G33/F33,"")</f>
        <v/>
      </c>
      <c r="Z33" s="7">
        <f>IF(G33&gt;0,H33/G33,"")</f>
        <v/>
      </c>
      <c r="AA33" s="6">
        <f>IF(C33&gt;0,I33/C33,"")</f>
        <v/>
      </c>
      <c r="AB33" s="7">
        <f>IF(C33&gt;0,N33/C33,"")</f>
        <v/>
      </c>
      <c r="AC33" s="7">
        <f>IF(N33&gt;0,R33/N33,"")</f>
        <v/>
      </c>
    </row>
    <row r="34">
      <c r="A34" s="2" t="inlineStr">
        <is>
          <t>Retail Brand Ambassador – Static A2 – Instant Form</t>
        </is>
      </c>
      <c r="B34" s="4" t="n">
        <v>8.51</v>
      </c>
      <c r="C34" s="5" t="n">
        <v>322</v>
      </c>
      <c r="D34" s="5" t="n">
        <v>288</v>
      </c>
      <c r="E34" s="5" t="n">
        <v>4</v>
      </c>
      <c r="F34" s="5" t="n">
        <v>3</v>
      </c>
      <c r="G34" s="5" t="n">
        <v>0</v>
      </c>
      <c r="H34" s="5" t="n">
        <v>0</v>
      </c>
      <c r="I34" s="5" t="n">
        <v>4</v>
      </c>
      <c r="J34" s="5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8">
        <f>IF(D34&gt;0,C34/D34,"")</f>
        <v/>
      </c>
      <c r="U34" s="6">
        <f>IF(C34&gt;0,F34/C34,"")</f>
        <v/>
      </c>
      <c r="V34" s="4">
        <f>IF(C34&gt;0,B34/C34*1000,"")</f>
        <v/>
      </c>
      <c r="W34" s="4">
        <f>IF(F34&gt;0,B34/F34,"")</f>
        <v/>
      </c>
      <c r="X34" s="4">
        <f>IF(H34&gt;0,B34/H34,"")</f>
        <v/>
      </c>
      <c r="Y34" s="7">
        <f>IF(F34&gt;0,G34/F34,"")</f>
        <v/>
      </c>
      <c r="Z34" s="7">
        <f>IF(G34&gt;0,H34/G34,"")</f>
        <v/>
      </c>
      <c r="AA34" s="6">
        <f>IF(C34&gt;0,I34/C34,"")</f>
        <v/>
      </c>
      <c r="AB34" s="7">
        <f>IF(C34&gt;0,N34/C34,"")</f>
        <v/>
      </c>
      <c r="AC34" s="7">
        <f>IF(N34&gt;0,R34/N34,"")</f>
        <v/>
      </c>
    </row>
    <row r="35">
      <c r="A35" s="2" t="inlineStr">
        <is>
          <t>2026-10-06 – Plumbing – Tankless Flush $289 – Noel – EN – Landing</t>
        </is>
      </c>
      <c r="B35" s="4" t="n">
        <v>7.59</v>
      </c>
      <c r="C35" s="5" t="n">
        <v>161</v>
      </c>
      <c r="D35" s="5" t="n">
        <v>145</v>
      </c>
      <c r="E35" s="5" t="n">
        <v>3</v>
      </c>
      <c r="F35" s="5" t="n">
        <v>1</v>
      </c>
      <c r="G35" s="5" t="n">
        <v>1</v>
      </c>
      <c r="H35" s="5" t="n">
        <v>0</v>
      </c>
      <c r="I35" s="5" t="n">
        <v>2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8">
        <f>IF(D35&gt;0,C35/D35,"")</f>
        <v/>
      </c>
      <c r="U35" s="6">
        <f>IF(C35&gt;0,F35/C35,"")</f>
        <v/>
      </c>
      <c r="V35" s="4">
        <f>IF(C35&gt;0,B35/C35*1000,"")</f>
        <v/>
      </c>
      <c r="W35" s="4">
        <f>IF(F35&gt;0,B35/F35,"")</f>
        <v/>
      </c>
      <c r="X35" s="4">
        <f>IF(H35&gt;0,B35/H35,"")</f>
        <v/>
      </c>
      <c r="Y35" s="7">
        <f>IF(F35&gt;0,G35/F35,"")</f>
        <v/>
      </c>
      <c r="Z35" s="7">
        <f>IF(G35&gt;0,H35/G35,"")</f>
        <v/>
      </c>
      <c r="AA35" s="6">
        <f>IF(C35&gt;0,I35/C35,"")</f>
        <v/>
      </c>
      <c r="AB35" s="7">
        <f>IF(C35&gt;0,N35/C35,"")</f>
        <v/>
      </c>
      <c r="AC35" s="7">
        <f>IF(N35&gt;0,R35/N35,"")</f>
        <v/>
      </c>
    </row>
    <row r="36">
      <c r="A36" s="2" t="inlineStr">
        <is>
          <t>2026-10-02 – A/C Tune-Up From $89 – EN</t>
        </is>
      </c>
      <c r="B36" s="4" t="n">
        <v>5.28</v>
      </c>
      <c r="C36" s="5" t="n">
        <v>72</v>
      </c>
      <c r="D36" s="5" t="n">
        <v>64</v>
      </c>
      <c r="E36" s="5" t="n">
        <v>1</v>
      </c>
      <c r="F36" s="5" t="n">
        <v>1</v>
      </c>
      <c r="G36" s="5" t="n">
        <v>0</v>
      </c>
      <c r="H36" s="5" t="n">
        <v>0</v>
      </c>
      <c r="I36" s="5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8">
        <f>IF(D36&gt;0,C36/D36,"")</f>
        <v/>
      </c>
      <c r="U36" s="6">
        <f>IF(C36&gt;0,F36/C36,"")</f>
        <v/>
      </c>
      <c r="V36" s="4">
        <f>IF(C36&gt;0,B36/C36*1000,"")</f>
        <v/>
      </c>
      <c r="W36" s="4">
        <f>IF(F36&gt;0,B36/F36,"")</f>
        <v/>
      </c>
      <c r="X36" s="4">
        <f>IF(H36&gt;0,B36/H36,"")</f>
        <v/>
      </c>
      <c r="Y36" s="7">
        <f>IF(F36&gt;0,G36/F36,"")</f>
        <v/>
      </c>
      <c r="Z36" s="7">
        <f>IF(G36&gt;0,H36/G36,"")</f>
        <v/>
      </c>
      <c r="AA36" s="6">
        <f>IF(C36&gt;0,I36/C36,"")</f>
        <v/>
      </c>
      <c r="AB36" s="7">
        <f>IF(C36&gt;0,N36/C36,"")</f>
        <v/>
      </c>
      <c r="AC36" s="7">
        <f>IF(N36&gt;0,R36/N36,"")</f>
        <v/>
      </c>
    </row>
    <row r="37">
      <c r="A37" s="2" t="inlineStr">
        <is>
          <t>2026-09-28 – 0% Interés 24 Meses – $5,800 – ES Hiperlocal</t>
        </is>
      </c>
      <c r="B37" s="4" t="n">
        <v>4.36</v>
      </c>
      <c r="C37" s="5" t="n">
        <v>93</v>
      </c>
      <c r="D37" s="5" t="n">
        <v>71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8">
        <f>IF(D37&gt;0,C37/D37,"")</f>
        <v/>
      </c>
      <c r="U37" s="6">
        <f>IF(C37&gt;0,F37/C37,"")</f>
        <v/>
      </c>
      <c r="V37" s="4">
        <f>IF(C37&gt;0,B37/C37*1000,"")</f>
        <v/>
      </c>
      <c r="W37" s="4">
        <f>IF(F37&gt;0,B37/F37,"")</f>
        <v/>
      </c>
      <c r="X37" s="4">
        <f>IF(H37&gt;0,B37/H37,"")</f>
        <v/>
      </c>
      <c r="Y37" s="7">
        <f>IF(F37&gt;0,G37/F37,"")</f>
        <v/>
      </c>
      <c r="Z37" s="7">
        <f>IF(G37&gt;0,H37/G37,"")</f>
        <v/>
      </c>
      <c r="AA37" s="6">
        <f>IF(C37&gt;0,I37/C37,"")</f>
        <v/>
      </c>
      <c r="AB37" s="7">
        <f>IF(C37&gt;0,N37/C37,"")</f>
        <v/>
      </c>
      <c r="AC37" s="7">
        <f>IF(N37&gt;0,R37/N37,"")</f>
        <v/>
      </c>
    </row>
    <row r="38">
      <c r="A38" s="2" t="inlineStr">
        <is>
          <t>Plumbing Landing - EN - Tankless Flush $289</t>
        </is>
      </c>
      <c r="B38" s="4" t="n">
        <v>1.91</v>
      </c>
      <c r="C38" s="5" t="n">
        <v>142</v>
      </c>
      <c r="D38" s="5" t="n">
        <v>134</v>
      </c>
      <c r="E38" s="5" t="n">
        <v>3</v>
      </c>
      <c r="F38" s="5" t="n">
        <v>2</v>
      </c>
      <c r="G38" s="5" t="n">
        <v>1</v>
      </c>
      <c r="H38" s="5" t="n">
        <v>0</v>
      </c>
      <c r="I38" s="5" t="n">
        <v>3</v>
      </c>
      <c r="J38" s="5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8">
        <f>IF(D38&gt;0,C38/D38,"")</f>
        <v/>
      </c>
      <c r="U38" s="6">
        <f>IF(C38&gt;0,F38/C38,"")</f>
        <v/>
      </c>
      <c r="V38" s="4">
        <f>IF(C38&gt;0,B38/C38*1000,"")</f>
        <v/>
      </c>
      <c r="W38" s="4">
        <f>IF(F38&gt;0,B38/F38,"")</f>
        <v/>
      </c>
      <c r="X38" s="4">
        <f>IF(H38&gt;0,B38/H38,"")</f>
        <v/>
      </c>
      <c r="Y38" s="7">
        <f>IF(F38&gt;0,G38/F38,"")</f>
        <v/>
      </c>
      <c r="Z38" s="7">
        <f>IF(G38&gt;0,H38/G38,"")</f>
        <v/>
      </c>
      <c r="AA38" s="6">
        <f>IF(C38&gt;0,I38/C38,"")</f>
        <v/>
      </c>
      <c r="AB38" s="7">
        <f>IF(C38&gt;0,N38/C38,"")</f>
        <v/>
      </c>
      <c r="AC38" s="7">
        <f>IF(N38&gt;0,R38/N38,"")</f>
        <v/>
      </c>
    </row>
    <row r="39">
      <c r="A39" s="2" t="inlineStr">
        <is>
          <t>HVAC Technician 2026 - Instant Form</t>
        </is>
      </c>
      <c r="B39" s="4" t="n">
        <v>1.07</v>
      </c>
      <c r="C39" s="5" t="n">
        <v>80</v>
      </c>
      <c r="D39" s="5" t="n">
        <v>71</v>
      </c>
      <c r="E39" s="5" t="n">
        <v>4</v>
      </c>
      <c r="F39" s="5" t="n">
        <v>3</v>
      </c>
      <c r="G39" s="5" t="n">
        <v>0</v>
      </c>
      <c r="H39" s="5" t="n">
        <v>0</v>
      </c>
      <c r="I39" s="5" t="n">
        <v>13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10</v>
      </c>
      <c r="O39" s="5" t="n">
        <v>8</v>
      </c>
      <c r="P39" s="5" t="n">
        <v>5</v>
      </c>
      <c r="Q39" s="5" t="n">
        <v>4</v>
      </c>
      <c r="R39" s="5" t="n">
        <v>2</v>
      </c>
      <c r="S39" s="5" t="n">
        <v>3</v>
      </c>
      <c r="T39" s="8">
        <f>IF(D39&gt;0,C39/D39,"")</f>
        <v/>
      </c>
      <c r="U39" s="6">
        <f>IF(C39&gt;0,F39/C39,"")</f>
        <v/>
      </c>
      <c r="V39" s="4">
        <f>IF(C39&gt;0,B39/C39*1000,"")</f>
        <v/>
      </c>
      <c r="W39" s="4">
        <f>IF(F39&gt;0,B39/F39,"")</f>
        <v/>
      </c>
      <c r="X39" s="4">
        <f>IF(H39&gt;0,B39/H39,"")</f>
        <v/>
      </c>
      <c r="Y39" s="7">
        <f>IF(F39&gt;0,G39/F39,"")</f>
        <v/>
      </c>
      <c r="Z39" s="7">
        <f>IF(G39&gt;0,H39/G39,"")</f>
        <v/>
      </c>
      <c r="AA39" s="6">
        <f>IF(C39&gt;0,I39/C39,"")</f>
        <v/>
      </c>
      <c r="AB39" s="7">
        <f>IF(C39&gt;0,N39/C39,"")</f>
        <v/>
      </c>
      <c r="AC39" s="7">
        <f>IF(N39&gt;0,R39/N39,"")</f>
        <v/>
      </c>
    </row>
    <row r="40">
      <c r="A40" s="2" t="inlineStr">
        <is>
          <t>CSR Colombia – Static N3 – Crece con nosotros</t>
        </is>
      </c>
      <c r="B40" s="4" t="n">
        <v>1.07</v>
      </c>
      <c r="C40" s="5" t="n">
        <v>317</v>
      </c>
      <c r="D40" s="5" t="n">
        <v>277</v>
      </c>
      <c r="E40" s="5" t="n">
        <v>15</v>
      </c>
      <c r="F40" s="5" t="n">
        <v>4</v>
      </c>
      <c r="G40" s="5" t="n">
        <v>0</v>
      </c>
      <c r="H40" s="5" t="n">
        <v>4</v>
      </c>
      <c r="I40" s="5" t="n">
        <v>4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8">
        <f>IF(D40&gt;0,C40/D40,"")</f>
        <v/>
      </c>
      <c r="U40" s="6">
        <f>IF(C40&gt;0,F40/C40,"")</f>
        <v/>
      </c>
      <c r="V40" s="4">
        <f>IF(C40&gt;0,B40/C40*1000,"")</f>
        <v/>
      </c>
      <c r="W40" s="4">
        <f>IF(F40&gt;0,B40/F40,"")</f>
        <v/>
      </c>
      <c r="X40" s="4">
        <f>IF(H40&gt;0,B40/H40,"")</f>
        <v/>
      </c>
      <c r="Y40" s="7">
        <f>IF(F40&gt;0,G40/F40,"")</f>
        <v/>
      </c>
      <c r="Z40" s="7">
        <f>IF(G40&gt;0,H40/G40,"")</f>
        <v/>
      </c>
      <c r="AA40" s="6">
        <f>IF(C40&gt;0,I40/C40,"")</f>
        <v/>
      </c>
      <c r="AB40" s="7">
        <f>IF(C40&gt;0,N40/C40,"")</f>
        <v/>
      </c>
      <c r="AC40" s="7">
        <f>IF(N40&gt;0,R40/N40,"")</f>
        <v/>
      </c>
    </row>
    <row r="41">
      <c r="A41" s="2" t="inlineStr">
        <is>
          <t>Electrical Service Technician – Static H3 – Instant Form</t>
        </is>
      </c>
      <c r="B41" s="4" t="n">
        <v>0.82</v>
      </c>
      <c r="C41" s="5" t="n">
        <v>43</v>
      </c>
      <c r="D41" s="5" t="n">
        <v>31</v>
      </c>
      <c r="E41" s="5" t="n">
        <v>1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8">
        <f>IF(D41&gt;0,C41/D41,"")</f>
        <v/>
      </c>
      <c r="U41" s="6">
        <f>IF(C41&gt;0,F41/C41,"")</f>
        <v/>
      </c>
      <c r="V41" s="4">
        <f>IF(C41&gt;0,B41/C41*1000,"")</f>
        <v/>
      </c>
      <c r="W41" s="4">
        <f>IF(F41&gt;0,B41/F41,"")</f>
        <v/>
      </c>
      <c r="X41" s="4">
        <f>IF(H41&gt;0,B41/H41,"")</f>
        <v/>
      </c>
      <c r="Y41" s="7">
        <f>IF(F41&gt;0,G41/F41,"")</f>
        <v/>
      </c>
      <c r="Z41" s="7">
        <f>IF(G41&gt;0,H41/G41,"")</f>
        <v/>
      </c>
      <c r="AA41" s="6">
        <f>IF(C41&gt;0,I41/C41,"")</f>
        <v/>
      </c>
      <c r="AB41" s="7">
        <f>IF(C41&gt;0,N41/C41,"")</f>
        <v/>
      </c>
      <c r="AC41" s="7">
        <f>IF(N41&gt;0,R41/N41,"")</f>
        <v/>
      </c>
    </row>
    <row r="42">
      <c r="A42" s="2" t="inlineStr">
        <is>
          <t>2026-10-02 – Mantenimiento de Aire Acondicionado Desde $89 – ES Hiperlocal</t>
        </is>
      </c>
      <c r="B42" s="4" t="n">
        <v>0.22</v>
      </c>
      <c r="C42" s="5" t="n">
        <v>11</v>
      </c>
      <c r="D42" s="5" t="n">
        <v>8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8">
        <f>IF(D42&gt;0,C42/D42,"")</f>
        <v/>
      </c>
      <c r="U42" s="6">
        <f>IF(C42&gt;0,F42/C42,"")</f>
        <v/>
      </c>
      <c r="V42" s="4">
        <f>IF(C42&gt;0,B42/C42*1000,"")</f>
        <v/>
      </c>
      <c r="W42" s="4">
        <f>IF(F42&gt;0,B42/F42,"")</f>
        <v/>
      </c>
      <c r="X42" s="4">
        <f>IF(H42&gt;0,B42/H42,"")</f>
        <v/>
      </c>
      <c r="Y42" s="7">
        <f>IF(F42&gt;0,G42/F42,"")</f>
        <v/>
      </c>
      <c r="Z42" s="7">
        <f>IF(G42&gt;0,H42/G42,"")</f>
        <v/>
      </c>
      <c r="AA42" s="6">
        <f>IF(C42&gt;0,I42/C42,"")</f>
        <v/>
      </c>
      <c r="AB42" s="7">
        <f>IF(C42&gt;0,N42/C42,"")</f>
        <v/>
      </c>
      <c r="AC42" s="7">
        <f>IF(N42&gt;0,R42/N42,"")</f>
        <v/>
      </c>
    </row>
    <row r="43">
      <c r="A43" s="2" t="inlineStr">
        <is>
          <t>2026-09-24 – Plumbing – Leak Stain – EN</t>
        </is>
      </c>
      <c r="B43" s="4" t="n">
        <v>0.1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8">
        <f>IF(D43&gt;0,C43/D43,"")</f>
        <v/>
      </c>
      <c r="U43" s="6">
        <f>IF(C43&gt;0,F43/C43,"")</f>
        <v/>
      </c>
      <c r="V43" s="4">
        <f>IF(C43&gt;0,B43/C43*1000,"")</f>
        <v/>
      </c>
      <c r="W43" s="4">
        <f>IF(F43&gt;0,B43/F43,"")</f>
        <v/>
      </c>
      <c r="X43" s="4">
        <f>IF(H43&gt;0,B43/H43,"")</f>
        <v/>
      </c>
      <c r="Y43" s="7">
        <f>IF(F43&gt;0,G43/F43,"")</f>
        <v/>
      </c>
      <c r="Z43" s="7">
        <f>IF(G43&gt;0,H43/G43,"")</f>
        <v/>
      </c>
      <c r="AA43" s="6">
        <f>IF(C43&gt;0,I43/C43,"")</f>
        <v/>
      </c>
      <c r="AB43" s="7">
        <f>IF(C43&gt;0,N43/C43,"")</f>
        <v/>
      </c>
      <c r="AC43" s="7">
        <f>IF(N43&gt;0,R43/N43,"")</f>
        <v/>
      </c>
    </row>
    <row r="44">
      <c r="A44" s="11" t="inlineStr">
        <is>
          <t>Total</t>
        </is>
      </c>
      <c r="B44" s="12">
        <f>SUM(B2:B43)</f>
        <v/>
      </c>
      <c r="C44" s="13">
        <f>SUM(C2:C43)</f>
        <v/>
      </c>
      <c r="D44" s="13" t="n"/>
      <c r="E44" s="13">
        <f>SUM(E2:E43)</f>
        <v/>
      </c>
      <c r="F44" s="13">
        <f>SUM(F2:F43)</f>
        <v/>
      </c>
      <c r="G44" s="13">
        <f>SUM(G2:G43)</f>
        <v/>
      </c>
      <c r="H44" s="13">
        <f>SUM(H2:H43)</f>
        <v/>
      </c>
      <c r="I44" s="13">
        <f>SUM(I2:I43)</f>
        <v/>
      </c>
      <c r="J44" s="13">
        <f>SUM(J2:J43)</f>
        <v/>
      </c>
      <c r="K44" s="13">
        <f>SUM(K2:K43)</f>
        <v/>
      </c>
      <c r="L44" s="13">
        <f>SUM(L2:L43)</f>
        <v/>
      </c>
      <c r="M44" s="13">
        <f>SUM(M2:M43)</f>
        <v/>
      </c>
      <c r="N44" s="13">
        <f>SUM(N2:N43)</f>
        <v/>
      </c>
      <c r="O44" s="13">
        <f>SUM(O2:O43)</f>
        <v/>
      </c>
      <c r="P44" s="13">
        <f>SUM(P2:P43)</f>
        <v/>
      </c>
      <c r="Q44" s="13">
        <f>SUM(Q2:Q43)</f>
        <v/>
      </c>
      <c r="R44" s="13">
        <f>SUM(R2:R43)</f>
        <v/>
      </c>
      <c r="S44" s="13">
        <f>SUM(S2:S43)</f>
        <v/>
      </c>
      <c r="T44" s="14">
        <f>IF(D44&gt;0,C44/D44,"")</f>
        <v/>
      </c>
      <c r="U44" s="15">
        <f>IF(C44&gt;0,F44/C44,"")</f>
        <v/>
      </c>
      <c r="V44" s="12">
        <f>IF(C44&gt;0,B44/C44*1000,"")</f>
        <v/>
      </c>
      <c r="W44" s="12">
        <f>IF(F44&gt;0,B44/F44,"")</f>
        <v/>
      </c>
      <c r="X44" s="12">
        <f>IF(H44&gt;0,B44/H44,"")</f>
        <v/>
      </c>
      <c r="Y44" s="16">
        <f>IF(F44&gt;0,G44/F44,"")</f>
        <v/>
      </c>
      <c r="Z44" s="16">
        <f>IF(G44&gt;0,H44/G44,"")</f>
        <v/>
      </c>
      <c r="AA44" s="15">
        <f>IF(C44&gt;0,I44/C44,"")</f>
        <v/>
      </c>
      <c r="AB44" s="16">
        <f>IF(C44&gt;0,N44/C44,"")</f>
        <v/>
      </c>
      <c r="AC44" s="16">
        <f>IF(N44&gt;0,R44/N44,"")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Edad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65+</t>
        </is>
      </c>
      <c r="B2" s="4" t="n">
        <v>1015.60782</v>
      </c>
      <c r="C2" s="5" t="n">
        <v>19964</v>
      </c>
      <c r="D2" s="5" t="n">
        <v>8810</v>
      </c>
      <c r="E2" s="5" t="n">
        <v>440</v>
      </c>
      <c r="F2" s="5" t="n">
        <v>275</v>
      </c>
      <c r="G2" s="5" t="n">
        <v>116</v>
      </c>
      <c r="H2" s="5" t="n">
        <v>26</v>
      </c>
      <c r="I2" s="5" t="n">
        <v>480</v>
      </c>
      <c r="J2" s="5" t="n">
        <v>29</v>
      </c>
      <c r="K2" s="5" t="n">
        <v>3</v>
      </c>
      <c r="L2" s="5" t="n">
        <v>3</v>
      </c>
      <c r="M2" s="5" t="n">
        <v>3</v>
      </c>
      <c r="N2" s="5" t="n">
        <v>167</v>
      </c>
      <c r="O2" s="5" t="n">
        <v>130</v>
      </c>
      <c r="P2" s="5" t="n">
        <v>73</v>
      </c>
      <c r="Q2" s="5" t="n">
        <v>39</v>
      </c>
      <c r="R2" s="5" t="n">
        <v>23</v>
      </c>
      <c r="S2" s="5" t="n">
        <v>33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55-64</t>
        </is>
      </c>
      <c r="B3" s="4" t="n">
        <v>708.266375</v>
      </c>
      <c r="C3" s="5" t="n">
        <v>16229</v>
      </c>
      <c r="D3" s="5" t="n">
        <v>7571</v>
      </c>
      <c r="E3" s="5" t="n">
        <v>311</v>
      </c>
      <c r="F3" s="5" t="n">
        <v>188</v>
      </c>
      <c r="G3" s="5" t="n">
        <v>54</v>
      </c>
      <c r="H3" s="5" t="n">
        <v>21</v>
      </c>
      <c r="I3" s="5" t="n">
        <v>537</v>
      </c>
      <c r="J3" s="5" t="n">
        <v>9</v>
      </c>
      <c r="K3" s="5" t="n">
        <v>2</v>
      </c>
      <c r="L3" s="5" t="n">
        <v>0</v>
      </c>
      <c r="M3" s="5" t="n">
        <v>2</v>
      </c>
      <c r="N3" s="5" t="n">
        <v>336</v>
      </c>
      <c r="O3" s="5" t="n">
        <v>255</v>
      </c>
      <c r="P3" s="5" t="n">
        <v>132</v>
      </c>
      <c r="Q3" s="5" t="n">
        <v>74</v>
      </c>
      <c r="R3" s="5" t="n">
        <v>50</v>
      </c>
      <c r="S3" s="5" t="n">
        <v>72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45-54</t>
        </is>
      </c>
      <c r="B4" s="4" t="n">
        <v>610.222724</v>
      </c>
      <c r="C4" s="5" t="n">
        <v>15293</v>
      </c>
      <c r="D4" s="5" t="n">
        <v>6898</v>
      </c>
      <c r="E4" s="5" t="n">
        <v>322</v>
      </c>
      <c r="F4" s="5" t="n">
        <v>185</v>
      </c>
      <c r="G4" s="5" t="n">
        <v>48</v>
      </c>
      <c r="H4" s="5" t="n">
        <v>40</v>
      </c>
      <c r="I4" s="5" t="n">
        <v>689</v>
      </c>
      <c r="J4" s="5" t="n">
        <v>24</v>
      </c>
      <c r="K4" s="5" t="n">
        <v>2</v>
      </c>
      <c r="L4" s="5" t="n">
        <v>1</v>
      </c>
      <c r="M4" s="5" t="n">
        <v>2</v>
      </c>
      <c r="N4" s="5" t="n">
        <v>475</v>
      </c>
      <c r="O4" s="5" t="n">
        <v>332</v>
      </c>
      <c r="P4" s="5" t="n">
        <v>180</v>
      </c>
      <c r="Q4" s="5" t="n">
        <v>107</v>
      </c>
      <c r="R4" s="5" t="n">
        <v>64</v>
      </c>
      <c r="S4" s="5" t="n">
        <v>103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2" t="inlineStr">
        <is>
          <t>35-44</t>
        </is>
      </c>
      <c r="B5" s="4" t="n">
        <v>482.477967</v>
      </c>
      <c r="C5" s="5" t="n">
        <v>16581</v>
      </c>
      <c r="D5" s="5" t="n">
        <v>7241</v>
      </c>
      <c r="E5" s="5" t="n">
        <v>448</v>
      </c>
      <c r="F5" s="5" t="n">
        <v>231</v>
      </c>
      <c r="G5" s="5" t="n">
        <v>35</v>
      </c>
      <c r="H5" s="5" t="n">
        <v>61</v>
      </c>
      <c r="I5" s="5" t="n">
        <v>927</v>
      </c>
      <c r="J5" s="5" t="n">
        <v>17</v>
      </c>
      <c r="K5" s="5" t="n">
        <v>2</v>
      </c>
      <c r="L5" s="5" t="n">
        <v>7</v>
      </c>
      <c r="M5" s="5" t="n">
        <v>8</v>
      </c>
      <c r="N5" s="5" t="n">
        <v>662</v>
      </c>
      <c r="O5" s="5" t="n">
        <v>450</v>
      </c>
      <c r="P5" s="5" t="n">
        <v>296</v>
      </c>
      <c r="Q5" s="5" t="n">
        <v>180</v>
      </c>
      <c r="R5" s="5" t="n">
        <v>114</v>
      </c>
      <c r="S5" s="5" t="n">
        <v>172</v>
      </c>
      <c r="T5" s="8">
        <f>IF(D5&gt;0,C5/D5,"")</f>
        <v/>
      </c>
      <c r="U5" s="6">
        <f>IF(C5&gt;0,F5/C5,"")</f>
        <v/>
      </c>
      <c r="V5" s="4">
        <f>IF(C5&gt;0,B5/C5*1000,"")</f>
        <v/>
      </c>
      <c r="W5" s="4">
        <f>IF(F5&gt;0,B5/F5,"")</f>
        <v/>
      </c>
      <c r="X5" s="4">
        <f>IF(H5&gt;0,B5/H5,"")</f>
        <v/>
      </c>
      <c r="Y5" s="7">
        <f>IF(F5&gt;0,G5/F5,"")</f>
        <v/>
      </c>
      <c r="Z5" s="7">
        <f>IF(G5&gt;0,H5/G5,"")</f>
        <v/>
      </c>
      <c r="AA5" s="6">
        <f>IF(C5&gt;0,I5/C5,"")</f>
        <v/>
      </c>
      <c r="AB5" s="7">
        <f>IF(C5&gt;0,N5/C5,"")</f>
        <v/>
      </c>
      <c r="AC5" s="7">
        <f>IF(N5&gt;0,R5/N5,"")</f>
        <v/>
      </c>
    </row>
    <row r="6">
      <c r="A6" s="2" t="inlineStr">
        <is>
          <t>25-34</t>
        </is>
      </c>
      <c r="B6" s="4" t="n">
        <v>316.361781</v>
      </c>
      <c r="C6" s="5" t="n">
        <v>16163</v>
      </c>
      <c r="D6" s="5" t="n">
        <v>6794</v>
      </c>
      <c r="E6" s="5" t="n">
        <v>516</v>
      </c>
      <c r="F6" s="5" t="n">
        <v>277</v>
      </c>
      <c r="G6" s="5" t="n">
        <v>20</v>
      </c>
      <c r="H6" s="5" t="n">
        <v>101</v>
      </c>
      <c r="I6" s="5" t="n">
        <v>1057</v>
      </c>
      <c r="J6" s="5" t="n">
        <v>16</v>
      </c>
      <c r="K6" s="5" t="n">
        <v>0</v>
      </c>
      <c r="L6" s="5" t="n">
        <v>4</v>
      </c>
      <c r="M6" s="5" t="n">
        <v>4</v>
      </c>
      <c r="N6" s="5" t="n">
        <v>756</v>
      </c>
      <c r="O6" s="5" t="n">
        <v>448</v>
      </c>
      <c r="P6" s="5" t="n">
        <v>334</v>
      </c>
      <c r="Q6" s="5" t="n">
        <v>181</v>
      </c>
      <c r="R6" s="5" t="n">
        <v>117</v>
      </c>
      <c r="S6" s="5" t="n">
        <v>185</v>
      </c>
      <c r="T6" s="8">
        <f>IF(D6&gt;0,C6/D6,"")</f>
        <v/>
      </c>
      <c r="U6" s="6">
        <f>IF(C6&gt;0,F6/C6,"")</f>
        <v/>
      </c>
      <c r="V6" s="4">
        <f>IF(C6&gt;0,B6/C6*1000,"")</f>
        <v/>
      </c>
      <c r="W6" s="4">
        <f>IF(F6&gt;0,B6/F6,"")</f>
        <v/>
      </c>
      <c r="X6" s="4">
        <f>IF(H6&gt;0,B6/H6,"")</f>
        <v/>
      </c>
      <c r="Y6" s="7">
        <f>IF(F6&gt;0,G6/F6,"")</f>
        <v/>
      </c>
      <c r="Z6" s="7">
        <f>IF(G6&gt;0,H6/G6,"")</f>
        <v/>
      </c>
      <c r="AA6" s="6">
        <f>IF(C6&gt;0,I6/C6,"")</f>
        <v/>
      </c>
      <c r="AB6" s="7">
        <f>IF(C6&gt;0,N6/C6,"")</f>
        <v/>
      </c>
      <c r="AC6" s="7">
        <f>IF(N6&gt;0,R6/N6,"")</f>
        <v/>
      </c>
    </row>
    <row r="7">
      <c r="A7" s="2" t="inlineStr">
        <is>
          <t>18-24</t>
        </is>
      </c>
      <c r="B7" s="4" t="n">
        <v>89.503333</v>
      </c>
      <c r="C7" s="5" t="n">
        <v>6879</v>
      </c>
      <c r="D7" s="5" t="n">
        <v>2915</v>
      </c>
      <c r="E7" s="5" t="n">
        <v>181</v>
      </c>
      <c r="F7" s="5" t="n">
        <v>101</v>
      </c>
      <c r="G7" s="5" t="n">
        <v>1</v>
      </c>
      <c r="H7" s="5" t="n">
        <v>41</v>
      </c>
      <c r="I7" s="5" t="n">
        <v>422</v>
      </c>
      <c r="J7" s="5" t="n">
        <v>5</v>
      </c>
      <c r="K7" s="5" t="n">
        <v>0</v>
      </c>
      <c r="L7" s="5" t="n">
        <v>1</v>
      </c>
      <c r="M7" s="5" t="n">
        <v>1</v>
      </c>
      <c r="N7" s="5" t="n">
        <v>314</v>
      </c>
      <c r="O7" s="5" t="n">
        <v>167</v>
      </c>
      <c r="P7" s="5" t="n">
        <v>127</v>
      </c>
      <c r="Q7" s="5" t="n">
        <v>69</v>
      </c>
      <c r="R7" s="5" t="n">
        <v>41</v>
      </c>
      <c r="S7" s="5" t="n">
        <v>77</v>
      </c>
      <c r="T7" s="8">
        <f>IF(D7&gt;0,C7/D7,"")</f>
        <v/>
      </c>
      <c r="U7" s="6">
        <f>IF(C7&gt;0,F7/C7,"")</f>
        <v/>
      </c>
      <c r="V7" s="4">
        <f>IF(C7&gt;0,B7/C7*1000,"")</f>
        <v/>
      </c>
      <c r="W7" s="4">
        <f>IF(F7&gt;0,B7/F7,"")</f>
        <v/>
      </c>
      <c r="X7" s="4">
        <f>IF(H7&gt;0,B7/H7,"")</f>
        <v/>
      </c>
      <c r="Y7" s="7">
        <f>IF(F7&gt;0,G7/F7,"")</f>
        <v/>
      </c>
      <c r="Z7" s="7">
        <f>IF(G7&gt;0,H7/G7,"")</f>
        <v/>
      </c>
      <c r="AA7" s="6">
        <f>IF(C7&gt;0,I7/C7,"")</f>
        <v/>
      </c>
      <c r="AB7" s="7">
        <f>IF(C7&gt;0,N7/C7,"")</f>
        <v/>
      </c>
      <c r="AC7" s="7">
        <f>IF(N7&gt;0,R7/N7,"")</f>
        <v/>
      </c>
    </row>
    <row r="8">
      <c r="A8" s="2" t="inlineStr">
        <is>
          <t>Unknown</t>
        </is>
      </c>
      <c r="B8" s="4" t="n">
        <v>0.01</v>
      </c>
      <c r="C8" s="5" t="n">
        <v>1</v>
      </c>
      <c r="D8" s="5" t="n">
        <v>1</v>
      </c>
      <c r="E8" s="5" t="n">
        <v>0</v>
      </c>
      <c r="F8" s="5" t="n">
        <v>0</v>
      </c>
      <c r="G8" s="5" t="n">
        <v>3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>
        <f>IF(D8&gt;0,C8/D8,"")</f>
        <v/>
      </c>
      <c r="U8" s="6">
        <f>IF(C8&gt;0,F8/C8,"")</f>
        <v/>
      </c>
      <c r="V8" s="4">
        <f>IF(C8&gt;0,B8/C8*1000,"")</f>
        <v/>
      </c>
      <c r="W8" s="4">
        <f>IF(F8&gt;0,B8/F8,"")</f>
        <v/>
      </c>
      <c r="X8" s="4">
        <f>IF(H8&gt;0,B8/H8,"")</f>
        <v/>
      </c>
      <c r="Y8" s="7">
        <f>IF(F8&gt;0,G8/F8,"")</f>
        <v/>
      </c>
      <c r="Z8" s="7">
        <f>IF(G8&gt;0,H8/G8,"")</f>
        <v/>
      </c>
      <c r="AA8" s="6">
        <f>IF(C8&gt;0,I8/C8,"")</f>
        <v/>
      </c>
      <c r="AB8" s="7">
        <f>IF(C8&gt;0,N8/C8,"")</f>
        <v/>
      </c>
      <c r="AC8" s="7">
        <f>IF(N8&gt;0,R8/N8,"")</f>
        <v/>
      </c>
    </row>
    <row r="9">
      <c r="A9" s="11" t="inlineStr">
        <is>
          <t>Total</t>
        </is>
      </c>
      <c r="B9" s="12">
        <f>SUM(B2:B8)</f>
        <v/>
      </c>
      <c r="C9" s="13">
        <f>SUM(C2:C8)</f>
        <v/>
      </c>
      <c r="D9" s="13" t="n"/>
      <c r="E9" s="13">
        <f>SUM(E2:E8)</f>
        <v/>
      </c>
      <c r="F9" s="13">
        <f>SUM(F2:F8)</f>
        <v/>
      </c>
      <c r="G9" s="13">
        <f>SUM(G2:G8)</f>
        <v/>
      </c>
      <c r="H9" s="13">
        <f>SUM(H2:H8)</f>
        <v/>
      </c>
      <c r="I9" s="13">
        <f>SUM(I2:I8)</f>
        <v/>
      </c>
      <c r="J9" s="13">
        <f>SUM(J2:J8)</f>
        <v/>
      </c>
      <c r="K9" s="13">
        <f>SUM(K2:K8)</f>
        <v/>
      </c>
      <c r="L9" s="13">
        <f>SUM(L2:L8)</f>
        <v/>
      </c>
      <c r="M9" s="13">
        <f>SUM(M2:M8)</f>
        <v/>
      </c>
      <c r="N9" s="13">
        <f>SUM(N2:N8)</f>
        <v/>
      </c>
      <c r="O9" s="13">
        <f>SUM(O2:O8)</f>
        <v/>
      </c>
      <c r="P9" s="13">
        <f>SUM(P2:P8)</f>
        <v/>
      </c>
      <c r="Q9" s="13">
        <f>SUM(Q2:Q8)</f>
        <v/>
      </c>
      <c r="R9" s="13">
        <f>SUM(R2:R8)</f>
        <v/>
      </c>
      <c r="S9" s="13">
        <f>SUM(S2:S8)</f>
        <v/>
      </c>
      <c r="T9" s="14">
        <f>IF(D9&gt;0,C9/D9,"")</f>
        <v/>
      </c>
      <c r="U9" s="15">
        <f>IF(C9&gt;0,F9/C9,"")</f>
        <v/>
      </c>
      <c r="V9" s="12">
        <f>IF(C9&gt;0,B9/C9*1000,"")</f>
        <v/>
      </c>
      <c r="W9" s="12">
        <f>IF(F9&gt;0,B9/F9,"")</f>
        <v/>
      </c>
      <c r="X9" s="12">
        <f>IF(H9&gt;0,B9/H9,"")</f>
        <v/>
      </c>
      <c r="Y9" s="16">
        <f>IF(F9&gt;0,G9/F9,"")</f>
        <v/>
      </c>
      <c r="Z9" s="16">
        <f>IF(G9&gt;0,H9/G9,"")</f>
        <v/>
      </c>
      <c r="AA9" s="15">
        <f>IF(C9&gt;0,I9/C9,"")</f>
        <v/>
      </c>
      <c r="AB9" s="16">
        <f>IF(C9&gt;0,N9/C9,"")</f>
        <v/>
      </c>
      <c r="AC9" s="16">
        <f>IF(N9&gt;0,R9/N9,"")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Género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Hombre</t>
        </is>
      </c>
      <c r="B2" s="4" t="n">
        <v>2108.708526</v>
      </c>
      <c r="C2" s="5" t="n">
        <v>68385</v>
      </c>
      <c r="D2" s="5" t="n">
        <v>29036</v>
      </c>
      <c r="E2" s="5" t="n">
        <v>1653</v>
      </c>
      <c r="F2" s="5" t="n">
        <v>918</v>
      </c>
      <c r="G2" s="5" t="n">
        <v>168</v>
      </c>
      <c r="H2" s="5" t="n">
        <v>228</v>
      </c>
      <c r="I2" s="5" t="n">
        <v>3472</v>
      </c>
      <c r="J2" s="5" t="n">
        <v>74</v>
      </c>
      <c r="K2" s="5" t="n">
        <v>7</v>
      </c>
      <c r="L2" s="5" t="n">
        <v>7</v>
      </c>
      <c r="M2" s="5" t="n">
        <v>10</v>
      </c>
      <c r="N2" s="5" t="n">
        <v>2456</v>
      </c>
      <c r="O2" s="5" t="n">
        <v>1579</v>
      </c>
      <c r="P2" s="5" t="n">
        <v>1023</v>
      </c>
      <c r="Q2" s="5" t="n">
        <v>583</v>
      </c>
      <c r="R2" s="5" t="n">
        <v>370</v>
      </c>
      <c r="S2" s="5" t="n">
        <v>594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Mujer</t>
        </is>
      </c>
      <c r="B3" s="4" t="n">
        <v>1077.120111</v>
      </c>
      <c r="C3" s="5" t="n">
        <v>21916</v>
      </c>
      <c r="D3" s="5" t="n">
        <v>10831</v>
      </c>
      <c r="E3" s="5" t="n">
        <v>540</v>
      </c>
      <c r="F3" s="5" t="n">
        <v>329</v>
      </c>
      <c r="G3" s="5" t="n">
        <v>104</v>
      </c>
      <c r="H3" s="5" t="n">
        <v>57</v>
      </c>
      <c r="I3" s="5" t="n">
        <v>612</v>
      </c>
      <c r="J3" s="5" t="n">
        <v>26</v>
      </c>
      <c r="K3" s="5" t="n">
        <v>2</v>
      </c>
      <c r="L3" s="5" t="n">
        <v>6</v>
      </c>
      <c r="M3" s="5" t="n">
        <v>10</v>
      </c>
      <c r="N3" s="5" t="n">
        <v>239</v>
      </c>
      <c r="O3" s="5" t="n">
        <v>190</v>
      </c>
      <c r="P3" s="5" t="n">
        <v>109</v>
      </c>
      <c r="Q3" s="5" t="n">
        <v>59</v>
      </c>
      <c r="R3" s="5" t="n">
        <v>37</v>
      </c>
      <c r="S3" s="5" t="n">
        <v>42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Sin dato</t>
        </is>
      </c>
      <c r="B4" s="4" t="n">
        <v>36.621364</v>
      </c>
      <c r="C4" s="5" t="n">
        <v>809</v>
      </c>
      <c r="D4" s="5" t="n">
        <v>368</v>
      </c>
      <c r="E4" s="5" t="n">
        <v>25</v>
      </c>
      <c r="F4" s="5" t="n">
        <v>10</v>
      </c>
      <c r="G4" s="5" t="n">
        <v>5</v>
      </c>
      <c r="H4" s="5" t="n">
        <v>5</v>
      </c>
      <c r="I4" s="5" t="n">
        <v>28</v>
      </c>
      <c r="J4" s="5" t="n">
        <v>0</v>
      </c>
      <c r="K4" s="5" t="n">
        <v>0</v>
      </c>
      <c r="L4" s="5" t="n">
        <v>3</v>
      </c>
      <c r="M4" s="5" t="n">
        <v>0</v>
      </c>
      <c r="N4" s="5" t="n">
        <v>15</v>
      </c>
      <c r="O4" s="5" t="n">
        <v>13</v>
      </c>
      <c r="P4" s="5" t="n">
        <v>10</v>
      </c>
      <c r="Q4" s="5" t="n">
        <v>8</v>
      </c>
      <c r="R4" s="5" t="n">
        <v>2</v>
      </c>
      <c r="S4" s="5" t="n">
        <v>6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11" t="inlineStr">
        <is>
          <t>Total</t>
        </is>
      </c>
      <c r="B5" s="12">
        <f>SUM(B2:B4)</f>
        <v/>
      </c>
      <c r="C5" s="13">
        <f>SUM(C2:C4)</f>
        <v/>
      </c>
      <c r="D5" s="13" t="n"/>
      <c r="E5" s="13">
        <f>SUM(E2:E4)</f>
        <v/>
      </c>
      <c r="F5" s="13">
        <f>SUM(F2:F4)</f>
        <v/>
      </c>
      <c r="G5" s="13">
        <f>SUM(G2:G4)</f>
        <v/>
      </c>
      <c r="H5" s="13">
        <f>SUM(H2:H4)</f>
        <v/>
      </c>
      <c r="I5" s="13">
        <f>SUM(I2:I4)</f>
        <v/>
      </c>
      <c r="J5" s="13">
        <f>SUM(J2:J4)</f>
        <v/>
      </c>
      <c r="K5" s="13">
        <f>SUM(K2:K4)</f>
        <v/>
      </c>
      <c r="L5" s="13">
        <f>SUM(L2:L4)</f>
        <v/>
      </c>
      <c r="M5" s="13">
        <f>SUM(M2:M4)</f>
        <v/>
      </c>
      <c r="N5" s="13">
        <f>SUM(N2:N4)</f>
        <v/>
      </c>
      <c r="O5" s="13">
        <f>SUM(O2:O4)</f>
        <v/>
      </c>
      <c r="P5" s="13">
        <f>SUM(P2:P4)</f>
        <v/>
      </c>
      <c r="Q5" s="13">
        <f>SUM(Q2:Q4)</f>
        <v/>
      </c>
      <c r="R5" s="13">
        <f>SUM(R2:R4)</f>
        <v/>
      </c>
      <c r="S5" s="13">
        <f>SUM(S2:S4)</f>
        <v/>
      </c>
      <c r="T5" s="14">
        <f>IF(D5&gt;0,C5/D5,"")</f>
        <v/>
      </c>
      <c r="U5" s="15">
        <f>IF(C5&gt;0,F5/C5,"")</f>
        <v/>
      </c>
      <c r="V5" s="12">
        <f>IF(C5&gt;0,B5/C5*1000,"")</f>
        <v/>
      </c>
      <c r="W5" s="12">
        <f>IF(F5&gt;0,B5/F5,"")</f>
        <v/>
      </c>
      <c r="X5" s="12">
        <f>IF(H5&gt;0,B5/H5,"")</f>
        <v/>
      </c>
      <c r="Y5" s="16">
        <f>IF(F5&gt;0,G5/F5,"")</f>
        <v/>
      </c>
      <c r="Z5" s="16">
        <f>IF(G5&gt;0,H5/G5,"")</f>
        <v/>
      </c>
      <c r="AA5" s="15">
        <f>IF(C5&gt;0,I5/C5,"")</f>
        <v/>
      </c>
      <c r="AB5" s="16">
        <f>IF(C5&gt;0,N5/C5,"")</f>
        <v/>
      </c>
      <c r="AC5" s="16">
        <f>IF(N5&gt;0,R5/N5,"")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32" customHeight="1">
      <c r="A1" s="10" t="inlineStr">
        <is>
          <t>Edad</t>
        </is>
      </c>
      <c r="B1" s="10" t="inlineStr">
        <is>
          <t>Género</t>
        </is>
      </c>
      <c r="C1" s="10" t="inlineStr">
        <is>
          <t>Gasto (USD)</t>
        </is>
      </c>
      <c r="D1" s="10" t="inlineStr">
        <is>
          <t>Impresiones</t>
        </is>
      </c>
      <c r="E1" s="10" t="inlineStr">
        <is>
          <t>Alcance</t>
        </is>
      </c>
      <c r="F1" s="10" t="inlineStr">
        <is>
          <t>Clics (todos)</t>
        </is>
      </c>
      <c r="G1" s="10" t="inlineStr">
        <is>
          <t>Clics en enlace</t>
        </is>
      </c>
      <c r="H1" s="10" t="inlineStr">
        <is>
          <t>Landing page views</t>
        </is>
      </c>
      <c r="I1" s="10" t="inlineStr">
        <is>
          <t>Leads (Meta)</t>
        </is>
      </c>
      <c r="J1" s="10" t="inlineStr">
        <is>
          <t>Interacciones</t>
        </is>
      </c>
      <c r="K1" s="10" t="inlineStr">
        <is>
          <t>Reacciones</t>
        </is>
      </c>
      <c r="L1" s="10" t="inlineStr">
        <is>
          <t>Comentarios</t>
        </is>
      </c>
      <c r="M1" s="10" t="inlineStr">
        <is>
          <t>Compartidos</t>
        </is>
      </c>
      <c r="N1" s="10" t="inlineStr">
        <is>
          <t>Guardados</t>
        </is>
      </c>
      <c r="O1" s="10" t="inlineStr">
        <is>
          <t>Reproducciones 3 s</t>
        </is>
      </c>
      <c r="P1" s="10" t="inlineStr">
        <is>
          <t>Video 25%</t>
        </is>
      </c>
      <c r="Q1" s="10" t="inlineStr">
        <is>
          <t>Video 50%</t>
        </is>
      </c>
      <c r="R1" s="10" t="inlineStr">
        <is>
          <t>Video 75%</t>
        </is>
      </c>
      <c r="S1" s="10" t="inlineStr">
        <is>
          <t>Video 100%</t>
        </is>
      </c>
      <c r="T1" s="10" t="inlineStr">
        <is>
          <t>ThruPlay</t>
        </is>
      </c>
      <c r="U1" s="10" t="inlineStr">
        <is>
          <t>Frecuencia</t>
        </is>
      </c>
      <c r="V1" s="10" t="inlineStr">
        <is>
          <t>CTR enlace</t>
        </is>
      </c>
      <c r="W1" s="10" t="inlineStr">
        <is>
          <t>CPM (USD)</t>
        </is>
      </c>
      <c r="X1" s="10" t="inlineStr">
        <is>
          <t>CPC enlace (USD)</t>
        </is>
      </c>
      <c r="Y1" s="10" t="inlineStr">
        <is>
          <t>CPL Meta (USD)</t>
        </is>
      </c>
      <c r="Z1" s="10" t="inlineStr">
        <is>
          <t>Clic → LPV</t>
        </is>
      </c>
      <c r="AA1" s="10" t="inlineStr">
        <is>
          <t>LPV → lead</t>
        </is>
      </c>
      <c r="AB1" s="10" t="inlineStr">
        <is>
          <t>Tasa de interacción</t>
        </is>
      </c>
      <c r="AC1" s="10" t="inlineStr">
        <is>
          <t>Hook rate (3 s / imp.)</t>
        </is>
      </c>
      <c r="AD1" s="10" t="inlineStr">
        <is>
          <t>Retención 100% / 3 s</t>
        </is>
      </c>
    </row>
    <row r="2">
      <c r="A2" s="2" t="inlineStr">
        <is>
          <t>65+</t>
        </is>
      </c>
      <c r="B2" s="2" t="inlineStr">
        <is>
          <t>Hombre</t>
        </is>
      </c>
      <c r="C2" s="4" t="n">
        <v>604.1324969999999</v>
      </c>
      <c r="D2" s="5" t="n">
        <v>12758</v>
      </c>
      <c r="E2" s="5" t="n">
        <v>5825</v>
      </c>
      <c r="F2" s="5" t="n">
        <v>270</v>
      </c>
      <c r="G2" s="5" t="n">
        <v>170</v>
      </c>
      <c r="H2" s="5" t="n">
        <v>63</v>
      </c>
      <c r="I2" s="5" t="n">
        <v>19</v>
      </c>
      <c r="J2" s="5" t="n">
        <v>325</v>
      </c>
      <c r="K2" s="5" t="n">
        <v>16</v>
      </c>
      <c r="L2" s="5" t="n">
        <v>2</v>
      </c>
      <c r="M2" s="5" t="n">
        <v>1</v>
      </c>
      <c r="N2" s="5" t="n">
        <v>2</v>
      </c>
      <c r="O2" s="5" t="n">
        <v>134</v>
      </c>
      <c r="P2" s="5" t="n">
        <v>99</v>
      </c>
      <c r="Q2" s="5" t="n">
        <v>54</v>
      </c>
      <c r="R2" s="5" t="n">
        <v>32</v>
      </c>
      <c r="S2" s="5" t="n">
        <v>17</v>
      </c>
      <c r="T2" s="5" t="n">
        <v>27</v>
      </c>
      <c r="U2" s="8">
        <f>IF(E2&gt;0,D2/E2,"")</f>
        <v/>
      </c>
      <c r="V2" s="6">
        <f>IF(D2&gt;0,G2/D2,"")</f>
        <v/>
      </c>
      <c r="W2" s="4">
        <f>IF(D2&gt;0,C2/D2*1000,"")</f>
        <v/>
      </c>
      <c r="X2" s="4">
        <f>IF(G2&gt;0,C2/G2,"")</f>
        <v/>
      </c>
      <c r="Y2" s="4">
        <f>IF(I2&gt;0,C2/I2,"")</f>
        <v/>
      </c>
      <c r="Z2" s="7">
        <f>IF(G2&gt;0,H2/G2,"")</f>
        <v/>
      </c>
      <c r="AA2" s="7">
        <f>IF(H2&gt;0,I2/H2,"")</f>
        <v/>
      </c>
      <c r="AB2" s="6">
        <f>IF(D2&gt;0,J2/D2,"")</f>
        <v/>
      </c>
      <c r="AC2" s="7">
        <f>IF(D2&gt;0,O2/D2,"")</f>
        <v/>
      </c>
      <c r="AD2" s="7">
        <f>IF(O2&gt;0,S2/O2,"")</f>
        <v/>
      </c>
    </row>
    <row r="3">
      <c r="A3" s="2" t="inlineStr">
        <is>
          <t>55-64</t>
        </is>
      </c>
      <c r="B3" s="2" t="inlineStr">
        <is>
          <t>Hombre</t>
        </is>
      </c>
      <c r="C3" s="4" t="n">
        <v>462.647228</v>
      </c>
      <c r="D3" s="5" t="n">
        <v>11740</v>
      </c>
      <c r="E3" s="5" t="n">
        <v>5302</v>
      </c>
      <c r="F3" s="5" t="n">
        <v>225</v>
      </c>
      <c r="G3" s="5" t="n">
        <v>129</v>
      </c>
      <c r="H3" s="5" t="n">
        <v>38</v>
      </c>
      <c r="I3" s="5" t="n">
        <v>16</v>
      </c>
      <c r="J3" s="5" t="n">
        <v>427</v>
      </c>
      <c r="K3" s="5" t="n">
        <v>7</v>
      </c>
      <c r="L3" s="5" t="n">
        <v>2</v>
      </c>
      <c r="M3" s="5" t="n">
        <v>0</v>
      </c>
      <c r="N3" s="5" t="n">
        <v>0</v>
      </c>
      <c r="O3" s="5" t="n">
        <v>289</v>
      </c>
      <c r="P3" s="5" t="n">
        <v>211</v>
      </c>
      <c r="Q3" s="5" t="n">
        <v>107</v>
      </c>
      <c r="R3" s="5" t="n">
        <v>63</v>
      </c>
      <c r="S3" s="5" t="n">
        <v>45</v>
      </c>
      <c r="T3" s="5" t="n">
        <v>66</v>
      </c>
      <c r="U3" s="8">
        <f>IF(E3&gt;0,D3/E3,"")</f>
        <v/>
      </c>
      <c r="V3" s="6">
        <f>IF(D3&gt;0,G3/D3,"")</f>
        <v/>
      </c>
      <c r="W3" s="4">
        <f>IF(D3&gt;0,C3/D3*1000,"")</f>
        <v/>
      </c>
      <c r="X3" s="4">
        <f>IF(G3&gt;0,C3/G3,"")</f>
        <v/>
      </c>
      <c r="Y3" s="4">
        <f>IF(I3&gt;0,C3/I3,"")</f>
        <v/>
      </c>
      <c r="Z3" s="7">
        <f>IF(G3&gt;0,H3/G3,"")</f>
        <v/>
      </c>
      <c r="AA3" s="7">
        <f>IF(H3&gt;0,I3/H3,"")</f>
        <v/>
      </c>
      <c r="AB3" s="6">
        <f>IF(D3&gt;0,J3/D3,"")</f>
        <v/>
      </c>
      <c r="AC3" s="7">
        <f>IF(D3&gt;0,O3/D3,"")</f>
        <v/>
      </c>
      <c r="AD3" s="7">
        <f>IF(O3&gt;0,S3/O3,"")</f>
        <v/>
      </c>
    </row>
    <row r="4">
      <c r="A4" s="2" t="inlineStr">
        <is>
          <t>65+</t>
        </is>
      </c>
      <c r="B4" s="2" t="inlineStr">
        <is>
          <t>Mujer</t>
        </is>
      </c>
      <c r="C4" s="4" t="n">
        <v>403.805037</v>
      </c>
      <c r="D4" s="5" t="n">
        <v>7018</v>
      </c>
      <c r="E4" s="5" t="n">
        <v>3132</v>
      </c>
      <c r="F4" s="5" t="n">
        <v>164</v>
      </c>
      <c r="G4" s="5" t="n">
        <v>102</v>
      </c>
      <c r="H4" s="5" t="n">
        <v>52</v>
      </c>
      <c r="I4" s="5" t="n">
        <v>7</v>
      </c>
      <c r="J4" s="5" t="n">
        <v>151</v>
      </c>
      <c r="K4" s="5" t="n">
        <v>13</v>
      </c>
      <c r="L4" s="5" t="n">
        <v>1</v>
      </c>
      <c r="M4" s="5" t="n">
        <v>1</v>
      </c>
      <c r="N4" s="5" t="n">
        <v>1</v>
      </c>
      <c r="O4" s="5" t="n">
        <v>33</v>
      </c>
      <c r="P4" s="5" t="n">
        <v>31</v>
      </c>
      <c r="Q4" s="5" t="n">
        <v>19</v>
      </c>
      <c r="R4" s="5" t="n">
        <v>7</v>
      </c>
      <c r="S4" s="5" t="n">
        <v>6</v>
      </c>
      <c r="T4" s="5" t="n">
        <v>6</v>
      </c>
      <c r="U4" s="8">
        <f>IF(E4&gt;0,D4/E4,"")</f>
        <v/>
      </c>
      <c r="V4" s="6">
        <f>IF(D4&gt;0,G4/D4,"")</f>
        <v/>
      </c>
      <c r="W4" s="4">
        <f>IF(D4&gt;0,C4/D4*1000,"")</f>
        <v/>
      </c>
      <c r="X4" s="4">
        <f>IF(G4&gt;0,C4/G4,"")</f>
        <v/>
      </c>
      <c r="Y4" s="4">
        <f>IF(I4&gt;0,C4/I4,"")</f>
        <v/>
      </c>
      <c r="Z4" s="7">
        <f>IF(G4&gt;0,H4/G4,"")</f>
        <v/>
      </c>
      <c r="AA4" s="7">
        <f>IF(H4&gt;0,I4/H4,"")</f>
        <v/>
      </c>
      <c r="AB4" s="6">
        <f>IF(D4&gt;0,J4/D4,"")</f>
        <v/>
      </c>
      <c r="AC4" s="7">
        <f>IF(D4&gt;0,O4/D4,"")</f>
        <v/>
      </c>
      <c r="AD4" s="7">
        <f>IF(O4&gt;0,S4/O4,"")</f>
        <v/>
      </c>
    </row>
    <row r="5">
      <c r="A5" s="2" t="inlineStr">
        <is>
          <t>45-54</t>
        </is>
      </c>
      <c r="B5" s="2" t="inlineStr">
        <is>
          <t>Hombre</t>
        </is>
      </c>
      <c r="C5" s="4" t="n">
        <v>388.064451</v>
      </c>
      <c r="D5" s="5" t="n">
        <v>11384</v>
      </c>
      <c r="E5" s="5" t="n">
        <v>5059</v>
      </c>
      <c r="F5" s="5" t="n">
        <v>232</v>
      </c>
      <c r="G5" s="5" t="n">
        <v>129</v>
      </c>
      <c r="H5" s="5" t="n">
        <v>28</v>
      </c>
      <c r="I5" s="5" t="n">
        <v>31</v>
      </c>
      <c r="J5" s="5" t="n">
        <v>566</v>
      </c>
      <c r="K5" s="5" t="n">
        <v>19</v>
      </c>
      <c r="L5" s="5" t="n">
        <v>2</v>
      </c>
      <c r="M5" s="5" t="n">
        <v>1</v>
      </c>
      <c r="N5" s="5" t="n">
        <v>1</v>
      </c>
      <c r="O5" s="5" t="n">
        <v>414</v>
      </c>
      <c r="P5" s="5" t="n">
        <v>284</v>
      </c>
      <c r="Q5" s="5" t="n">
        <v>160</v>
      </c>
      <c r="R5" s="5" t="n">
        <v>94</v>
      </c>
      <c r="S5" s="5" t="n">
        <v>56</v>
      </c>
      <c r="T5" s="5" t="n">
        <v>94</v>
      </c>
      <c r="U5" s="8">
        <f>IF(E5&gt;0,D5/E5,"")</f>
        <v/>
      </c>
      <c r="V5" s="6">
        <f>IF(D5&gt;0,G5/D5,"")</f>
        <v/>
      </c>
      <c r="W5" s="4">
        <f>IF(D5&gt;0,C5/D5*1000,"")</f>
        <v/>
      </c>
      <c r="X5" s="4">
        <f>IF(G5&gt;0,C5/G5,"")</f>
        <v/>
      </c>
      <c r="Y5" s="4">
        <f>IF(I5&gt;0,C5/I5,"")</f>
        <v/>
      </c>
      <c r="Z5" s="7">
        <f>IF(G5&gt;0,H5/G5,"")</f>
        <v/>
      </c>
      <c r="AA5" s="7">
        <f>IF(H5&gt;0,I5/H5,"")</f>
        <v/>
      </c>
      <c r="AB5" s="6">
        <f>IF(D5&gt;0,J5/D5,"")</f>
        <v/>
      </c>
      <c r="AC5" s="7">
        <f>IF(D5&gt;0,O5/D5,"")</f>
        <v/>
      </c>
      <c r="AD5" s="7">
        <f>IF(O5&gt;0,S5/O5,"")</f>
        <v/>
      </c>
    </row>
    <row r="6">
      <c r="A6" s="2" t="inlineStr">
        <is>
          <t>35-44</t>
        </is>
      </c>
      <c r="B6" s="2" t="inlineStr">
        <is>
          <t>Hombre</t>
        </is>
      </c>
      <c r="C6" s="4" t="n">
        <v>330.812319</v>
      </c>
      <c r="D6" s="5" t="n">
        <v>12817</v>
      </c>
      <c r="E6" s="5" t="n">
        <v>5356</v>
      </c>
      <c r="F6" s="5" t="n">
        <v>340</v>
      </c>
      <c r="G6" s="5" t="n">
        <v>175</v>
      </c>
      <c r="H6" s="5" t="n">
        <v>22</v>
      </c>
      <c r="I6" s="5" t="n">
        <v>42</v>
      </c>
      <c r="J6" s="5" t="n">
        <v>799</v>
      </c>
      <c r="K6" s="5" t="n">
        <v>15</v>
      </c>
      <c r="L6" s="5" t="n">
        <v>1</v>
      </c>
      <c r="M6" s="5" t="n">
        <v>2</v>
      </c>
      <c r="N6" s="5" t="n">
        <v>5</v>
      </c>
      <c r="O6" s="5" t="n">
        <v>601</v>
      </c>
      <c r="P6" s="5" t="n">
        <v>402</v>
      </c>
      <c r="Q6" s="5" t="n">
        <v>270</v>
      </c>
      <c r="R6" s="5" t="n">
        <v>163</v>
      </c>
      <c r="S6" s="5" t="n">
        <v>104</v>
      </c>
      <c r="T6" s="5" t="n">
        <v>161</v>
      </c>
      <c r="U6" s="8">
        <f>IF(E6&gt;0,D6/E6,"")</f>
        <v/>
      </c>
      <c r="V6" s="6">
        <f>IF(D6&gt;0,G6/D6,"")</f>
        <v/>
      </c>
      <c r="W6" s="4">
        <f>IF(D6&gt;0,C6/D6*1000,"")</f>
        <v/>
      </c>
      <c r="X6" s="4">
        <f>IF(G6&gt;0,C6/G6,"")</f>
        <v/>
      </c>
      <c r="Y6" s="4">
        <f>IF(I6&gt;0,C6/I6,"")</f>
        <v/>
      </c>
      <c r="Z6" s="7">
        <f>IF(G6&gt;0,H6/G6,"")</f>
        <v/>
      </c>
      <c r="AA6" s="7">
        <f>IF(H6&gt;0,I6/H6,"")</f>
        <v/>
      </c>
      <c r="AB6" s="6">
        <f>IF(D6&gt;0,J6/D6,"")</f>
        <v/>
      </c>
      <c r="AC6" s="7">
        <f>IF(D6&gt;0,O6/D6,"")</f>
        <v/>
      </c>
      <c r="AD6" s="7">
        <f>IF(O6&gt;0,S6/O6,"")</f>
        <v/>
      </c>
    </row>
    <row r="7">
      <c r="A7" s="2" t="inlineStr">
        <is>
          <t>25-34</t>
        </is>
      </c>
      <c r="B7" s="2" t="inlineStr">
        <is>
          <t>Hombre</t>
        </is>
      </c>
      <c r="C7" s="4" t="n">
        <v>243.929084</v>
      </c>
      <c r="D7" s="5" t="n">
        <v>13620</v>
      </c>
      <c r="E7" s="5" t="n">
        <v>5370</v>
      </c>
      <c r="F7" s="5" t="n">
        <v>429</v>
      </c>
      <c r="G7" s="5" t="n">
        <v>228</v>
      </c>
      <c r="H7" s="5" t="n">
        <v>16</v>
      </c>
      <c r="I7" s="5" t="n">
        <v>86</v>
      </c>
      <c r="J7" s="5" t="n">
        <v>963</v>
      </c>
      <c r="K7" s="5" t="n">
        <v>14</v>
      </c>
      <c r="L7" s="5" t="n">
        <v>0</v>
      </c>
      <c r="M7" s="5" t="n">
        <v>3</v>
      </c>
      <c r="N7" s="5" t="n">
        <v>2</v>
      </c>
      <c r="O7" s="5" t="n">
        <v>716</v>
      </c>
      <c r="P7" s="5" t="n">
        <v>420</v>
      </c>
      <c r="Q7" s="5" t="n">
        <v>311</v>
      </c>
      <c r="R7" s="5" t="n">
        <v>166</v>
      </c>
      <c r="S7" s="5" t="n">
        <v>107</v>
      </c>
      <c r="T7" s="5" t="n">
        <v>172</v>
      </c>
      <c r="U7" s="8">
        <f>IF(E7&gt;0,D7/E7,"")</f>
        <v/>
      </c>
      <c r="V7" s="6">
        <f>IF(D7&gt;0,G7/D7,"")</f>
        <v/>
      </c>
      <c r="W7" s="4">
        <f>IF(D7&gt;0,C7/D7*1000,"")</f>
        <v/>
      </c>
      <c r="X7" s="4">
        <f>IF(G7&gt;0,C7/G7,"")</f>
        <v/>
      </c>
      <c r="Y7" s="4">
        <f>IF(I7&gt;0,C7/I7,"")</f>
        <v/>
      </c>
      <c r="Z7" s="7">
        <f>IF(G7&gt;0,H7/G7,"")</f>
        <v/>
      </c>
      <c r="AA7" s="7">
        <f>IF(H7&gt;0,I7/H7,"")</f>
        <v/>
      </c>
      <c r="AB7" s="6">
        <f>IF(D7&gt;0,J7/D7,"")</f>
        <v/>
      </c>
      <c r="AC7" s="7">
        <f>IF(D7&gt;0,O7/D7,"")</f>
        <v/>
      </c>
      <c r="AD7" s="7">
        <f>IF(O7&gt;0,S7/O7,"")</f>
        <v/>
      </c>
    </row>
    <row r="8">
      <c r="A8" s="2" t="inlineStr">
        <is>
          <t>55-64</t>
        </is>
      </c>
      <c r="B8" s="2" t="inlineStr">
        <is>
          <t>Mujer</t>
        </is>
      </c>
      <c r="C8" s="4" t="n">
        <v>232.898673</v>
      </c>
      <c r="D8" s="5" t="n">
        <v>4302</v>
      </c>
      <c r="E8" s="5" t="n">
        <v>2119</v>
      </c>
      <c r="F8" s="5" t="n">
        <v>81</v>
      </c>
      <c r="G8" s="5" t="n">
        <v>56</v>
      </c>
      <c r="H8" s="5" t="n">
        <v>15</v>
      </c>
      <c r="I8" s="5" t="n">
        <v>4</v>
      </c>
      <c r="J8" s="5" t="n">
        <v>104</v>
      </c>
      <c r="K8" s="5" t="n">
        <v>2</v>
      </c>
      <c r="L8" s="5" t="n">
        <v>0</v>
      </c>
      <c r="M8" s="5" t="n">
        <v>0</v>
      </c>
      <c r="N8" s="5" t="n">
        <v>2</v>
      </c>
      <c r="O8" s="5" t="n">
        <v>44</v>
      </c>
      <c r="P8" s="5" t="n">
        <v>41</v>
      </c>
      <c r="Q8" s="5" t="n">
        <v>23</v>
      </c>
      <c r="R8" s="5" t="n">
        <v>9</v>
      </c>
      <c r="S8" s="5" t="n">
        <v>5</v>
      </c>
      <c r="T8" s="5" t="n">
        <v>5</v>
      </c>
      <c r="U8" s="8">
        <f>IF(E8&gt;0,D8/E8,"")</f>
        <v/>
      </c>
      <c r="V8" s="6">
        <f>IF(D8&gt;0,G8/D8,"")</f>
        <v/>
      </c>
      <c r="W8" s="4">
        <f>IF(D8&gt;0,C8/D8*1000,"")</f>
        <v/>
      </c>
      <c r="X8" s="4">
        <f>IF(G8&gt;0,C8/G8,"")</f>
        <v/>
      </c>
      <c r="Y8" s="4">
        <f>IF(I8&gt;0,C8/I8,"")</f>
        <v/>
      </c>
      <c r="Z8" s="7">
        <f>IF(G8&gt;0,H8/G8,"")</f>
        <v/>
      </c>
      <c r="AA8" s="7">
        <f>IF(H8&gt;0,I8/H8,"")</f>
        <v/>
      </c>
      <c r="AB8" s="6">
        <f>IF(D8&gt;0,J8/D8,"")</f>
        <v/>
      </c>
      <c r="AC8" s="7">
        <f>IF(D8&gt;0,O8/D8,"")</f>
        <v/>
      </c>
      <c r="AD8" s="7">
        <f>IF(O8&gt;0,S8/O8,"")</f>
        <v/>
      </c>
    </row>
    <row r="9">
      <c r="A9" s="2" t="inlineStr">
        <is>
          <t>45-54</t>
        </is>
      </c>
      <c r="B9" s="2" t="inlineStr">
        <is>
          <t>Mujer</t>
        </is>
      </c>
      <c r="C9" s="4" t="n">
        <v>218.508137</v>
      </c>
      <c r="D9" s="5" t="n">
        <v>3789</v>
      </c>
      <c r="E9" s="5" t="n">
        <v>1847</v>
      </c>
      <c r="F9" s="5" t="n">
        <v>86</v>
      </c>
      <c r="G9" s="5" t="n">
        <v>55</v>
      </c>
      <c r="H9" s="5" t="n">
        <v>20</v>
      </c>
      <c r="I9" s="5" t="n">
        <v>8</v>
      </c>
      <c r="J9" s="5" t="n">
        <v>119</v>
      </c>
      <c r="K9" s="5" t="n">
        <v>5</v>
      </c>
      <c r="L9" s="5" t="n">
        <v>0</v>
      </c>
      <c r="M9" s="5" t="n">
        <v>0</v>
      </c>
      <c r="N9" s="5" t="n">
        <v>1</v>
      </c>
      <c r="O9" s="5" t="n">
        <v>58</v>
      </c>
      <c r="P9" s="5" t="n">
        <v>45</v>
      </c>
      <c r="Q9" s="5" t="n">
        <v>18</v>
      </c>
      <c r="R9" s="5" t="n">
        <v>13</v>
      </c>
      <c r="S9" s="5" t="n">
        <v>8</v>
      </c>
      <c r="T9" s="5" t="n">
        <v>9</v>
      </c>
      <c r="U9" s="8">
        <f>IF(E9&gt;0,D9/E9,"")</f>
        <v/>
      </c>
      <c r="V9" s="6">
        <f>IF(D9&gt;0,G9/D9,"")</f>
        <v/>
      </c>
      <c r="W9" s="4">
        <f>IF(D9&gt;0,C9/D9*1000,"")</f>
        <v/>
      </c>
      <c r="X9" s="4">
        <f>IF(G9&gt;0,C9/G9,"")</f>
        <v/>
      </c>
      <c r="Y9" s="4">
        <f>IF(I9&gt;0,C9/I9,"")</f>
        <v/>
      </c>
      <c r="Z9" s="7">
        <f>IF(G9&gt;0,H9/G9,"")</f>
        <v/>
      </c>
      <c r="AA9" s="7">
        <f>IF(H9&gt;0,I9/H9,"")</f>
        <v/>
      </c>
      <c r="AB9" s="6">
        <f>IF(D9&gt;0,J9/D9,"")</f>
        <v/>
      </c>
      <c r="AC9" s="7">
        <f>IF(D9&gt;0,O9/D9,"")</f>
        <v/>
      </c>
      <c r="AD9" s="7">
        <f>IF(O9&gt;0,S9/O9,"")</f>
        <v/>
      </c>
    </row>
    <row r="10">
      <c r="A10" s="2" t="inlineStr">
        <is>
          <t>35-44</t>
        </is>
      </c>
      <c r="B10" s="2" t="inlineStr">
        <is>
          <t>Mujer</t>
        </is>
      </c>
      <c r="C10" s="4" t="n">
        <v>141.005251</v>
      </c>
      <c r="D10" s="5" t="n">
        <v>3645</v>
      </c>
      <c r="E10" s="5" t="n">
        <v>1914</v>
      </c>
      <c r="F10" s="5" t="n">
        <v>104</v>
      </c>
      <c r="G10" s="5" t="n">
        <v>55</v>
      </c>
      <c r="H10" s="5" t="n">
        <v>13</v>
      </c>
      <c r="I10" s="5" t="n">
        <v>18</v>
      </c>
      <c r="J10" s="5" t="n">
        <v>121</v>
      </c>
      <c r="K10" s="5" t="n">
        <v>2</v>
      </c>
      <c r="L10" s="5" t="n">
        <v>1</v>
      </c>
      <c r="M10" s="5" t="n">
        <v>3</v>
      </c>
      <c r="N10" s="5" t="n">
        <v>3</v>
      </c>
      <c r="O10" s="5" t="n">
        <v>57</v>
      </c>
      <c r="P10" s="5" t="n">
        <v>44</v>
      </c>
      <c r="Q10" s="5" t="n">
        <v>23</v>
      </c>
      <c r="R10" s="5" t="n">
        <v>14</v>
      </c>
      <c r="S10" s="5" t="n">
        <v>9</v>
      </c>
      <c r="T10" s="5" t="n">
        <v>8</v>
      </c>
      <c r="U10" s="8">
        <f>IF(E10&gt;0,D10/E10,"")</f>
        <v/>
      </c>
      <c r="V10" s="6">
        <f>IF(D10&gt;0,G10/D10,"")</f>
        <v/>
      </c>
      <c r="W10" s="4">
        <f>IF(D10&gt;0,C10/D10*1000,"")</f>
        <v/>
      </c>
      <c r="X10" s="4">
        <f>IF(G10&gt;0,C10/G10,"")</f>
        <v/>
      </c>
      <c r="Y10" s="4">
        <f>IF(I10&gt;0,C10/I10,"")</f>
        <v/>
      </c>
      <c r="Z10" s="7">
        <f>IF(G10&gt;0,H10/G10,"")</f>
        <v/>
      </c>
      <c r="AA10" s="7">
        <f>IF(H10&gt;0,I10/H10,"")</f>
        <v/>
      </c>
      <c r="AB10" s="6">
        <f>IF(D10&gt;0,J10/D10,"")</f>
        <v/>
      </c>
      <c r="AC10" s="7">
        <f>IF(D10&gt;0,O10/D10,"")</f>
        <v/>
      </c>
      <c r="AD10" s="7">
        <f>IF(O10&gt;0,S10/O10,"")</f>
        <v/>
      </c>
    </row>
    <row r="11">
      <c r="A11" s="2" t="inlineStr">
        <is>
          <t>18-24</t>
        </is>
      </c>
      <c r="B11" s="2" t="inlineStr">
        <is>
          <t>Hombre</t>
        </is>
      </c>
      <c r="C11" s="4" t="n">
        <v>79.11294599999999</v>
      </c>
      <c r="D11" s="5" t="n">
        <v>6065</v>
      </c>
      <c r="E11" s="5" t="n">
        <v>2423</v>
      </c>
      <c r="F11" s="5" t="n">
        <v>157</v>
      </c>
      <c r="G11" s="5" t="n">
        <v>87</v>
      </c>
      <c r="H11" s="5" t="n">
        <v>1</v>
      </c>
      <c r="I11" s="5" t="n">
        <v>34</v>
      </c>
      <c r="J11" s="5" t="n">
        <v>392</v>
      </c>
      <c r="K11" s="5" t="n">
        <v>3</v>
      </c>
      <c r="L11" s="5" t="n">
        <v>0</v>
      </c>
      <c r="M11" s="5" t="n">
        <v>0</v>
      </c>
      <c r="N11" s="5" t="n">
        <v>0</v>
      </c>
      <c r="O11" s="5" t="n">
        <v>302</v>
      </c>
      <c r="P11" s="5" t="n">
        <v>163</v>
      </c>
      <c r="Q11" s="5" t="n">
        <v>121</v>
      </c>
      <c r="R11" s="5" t="n">
        <v>65</v>
      </c>
      <c r="S11" s="5" t="n">
        <v>41</v>
      </c>
      <c r="T11" s="5" t="n">
        <v>74</v>
      </c>
      <c r="U11" s="8">
        <f>IF(E11&gt;0,D11/E11,"")</f>
        <v/>
      </c>
      <c r="V11" s="6">
        <f>IF(D11&gt;0,G11/D11,"")</f>
        <v/>
      </c>
      <c r="W11" s="4">
        <f>IF(D11&gt;0,C11/D11*1000,"")</f>
        <v/>
      </c>
      <c r="X11" s="4">
        <f>IF(G11&gt;0,C11/G11,"")</f>
        <v/>
      </c>
      <c r="Y11" s="4">
        <f>IF(I11&gt;0,C11/I11,"")</f>
        <v/>
      </c>
      <c r="Z11" s="7">
        <f>IF(G11&gt;0,H11/G11,"")</f>
        <v/>
      </c>
      <c r="AA11" s="7">
        <f>IF(H11&gt;0,I11/H11,"")</f>
        <v/>
      </c>
      <c r="AB11" s="6">
        <f>IF(D11&gt;0,J11/D11,"")</f>
        <v/>
      </c>
      <c r="AC11" s="7">
        <f>IF(D11&gt;0,O11/D11,"")</f>
        <v/>
      </c>
      <c r="AD11" s="7">
        <f>IF(O11&gt;0,S11/O11,"")</f>
        <v/>
      </c>
    </row>
    <row r="12">
      <c r="A12" s="2" t="inlineStr">
        <is>
          <t>25-34</t>
        </is>
      </c>
      <c r="B12" s="2" t="inlineStr">
        <is>
          <t>Mujer</t>
        </is>
      </c>
      <c r="C12" s="4" t="n">
        <v>71.472662</v>
      </c>
      <c r="D12" s="5" t="n">
        <v>2446</v>
      </c>
      <c r="E12" s="5" t="n">
        <v>1478</v>
      </c>
      <c r="F12" s="5" t="n">
        <v>83</v>
      </c>
      <c r="G12" s="5" t="n">
        <v>48</v>
      </c>
      <c r="H12" s="5" t="n">
        <v>4</v>
      </c>
      <c r="I12" s="5" t="n">
        <v>14</v>
      </c>
      <c r="J12" s="5" t="n">
        <v>91</v>
      </c>
      <c r="K12" s="5" t="n">
        <v>2</v>
      </c>
      <c r="L12" s="5" t="n">
        <v>0</v>
      </c>
      <c r="M12" s="5" t="n">
        <v>1</v>
      </c>
      <c r="N12" s="5" t="n">
        <v>2</v>
      </c>
      <c r="O12" s="5" t="n">
        <v>38</v>
      </c>
      <c r="P12" s="5" t="n">
        <v>26</v>
      </c>
      <c r="Q12" s="5" t="n">
        <v>22</v>
      </c>
      <c r="R12" s="5" t="n">
        <v>14</v>
      </c>
      <c r="S12" s="5" t="n">
        <v>9</v>
      </c>
      <c r="T12" s="5" t="n">
        <v>12</v>
      </c>
      <c r="U12" s="8">
        <f>IF(E12&gt;0,D12/E12,"")</f>
        <v/>
      </c>
      <c r="V12" s="6">
        <f>IF(D12&gt;0,G12/D12,"")</f>
        <v/>
      </c>
      <c r="W12" s="4">
        <f>IF(D12&gt;0,C12/D12*1000,"")</f>
        <v/>
      </c>
      <c r="X12" s="4">
        <f>IF(G12&gt;0,C12/G12,"")</f>
        <v/>
      </c>
      <c r="Y12" s="4">
        <f>IF(I12&gt;0,C12/I12,"")</f>
        <v/>
      </c>
      <c r="Z12" s="7">
        <f>IF(G12&gt;0,H12/G12,"")</f>
        <v/>
      </c>
      <c r="AA12" s="7">
        <f>IF(H12&gt;0,I12/H12,"")</f>
        <v/>
      </c>
      <c r="AB12" s="6">
        <f>IF(D12&gt;0,J12/D12,"")</f>
        <v/>
      </c>
      <c r="AC12" s="7">
        <f>IF(D12&gt;0,O12/D12,"")</f>
        <v/>
      </c>
      <c r="AD12" s="7">
        <f>IF(O12&gt;0,S12/O12,"")</f>
        <v/>
      </c>
    </row>
    <row r="13">
      <c r="A13" s="2" t="inlineStr">
        <is>
          <t>55-64</t>
        </is>
      </c>
      <c r="B13" s="2" t="inlineStr">
        <is>
          <t>Sin dato</t>
        </is>
      </c>
      <c r="C13" s="4" t="n">
        <v>12.720474</v>
      </c>
      <c r="D13" s="5" t="n">
        <v>187</v>
      </c>
      <c r="E13" s="5" t="n">
        <v>91</v>
      </c>
      <c r="F13" s="5" t="n">
        <v>5</v>
      </c>
      <c r="G13" s="5" t="n">
        <v>3</v>
      </c>
      <c r="H13" s="5" t="n">
        <v>1</v>
      </c>
      <c r="I13" s="5" t="n">
        <v>1</v>
      </c>
      <c r="J13" s="5" t="n">
        <v>6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3</v>
      </c>
      <c r="P13" s="5" t="n">
        <v>3</v>
      </c>
      <c r="Q13" s="5" t="n">
        <v>2</v>
      </c>
      <c r="R13" s="5" t="n">
        <v>2</v>
      </c>
      <c r="S13" s="5" t="n">
        <v>0</v>
      </c>
      <c r="T13" s="5" t="n">
        <v>1</v>
      </c>
      <c r="U13" s="8">
        <f>IF(E13&gt;0,D13/E13,"")</f>
        <v/>
      </c>
      <c r="V13" s="6">
        <f>IF(D13&gt;0,G13/D13,"")</f>
        <v/>
      </c>
      <c r="W13" s="4">
        <f>IF(D13&gt;0,C13/D13*1000,"")</f>
        <v/>
      </c>
      <c r="X13" s="4">
        <f>IF(G13&gt;0,C13/G13,"")</f>
        <v/>
      </c>
      <c r="Y13" s="4">
        <f>IF(I13&gt;0,C13/I13,"")</f>
        <v/>
      </c>
      <c r="Z13" s="7">
        <f>IF(G13&gt;0,H13/G13,"")</f>
        <v/>
      </c>
      <c r="AA13" s="7">
        <f>IF(H13&gt;0,I13/H13,"")</f>
        <v/>
      </c>
      <c r="AB13" s="6">
        <f>IF(D13&gt;0,J13/D13,"")</f>
        <v/>
      </c>
      <c r="AC13" s="7">
        <f>IF(D13&gt;0,O13/D13,"")</f>
        <v/>
      </c>
      <c r="AD13" s="7">
        <f>IF(O13&gt;0,S13/O13,"")</f>
        <v/>
      </c>
    </row>
    <row r="14">
      <c r="A14" s="2" t="inlineStr">
        <is>
          <t>35-44</t>
        </is>
      </c>
      <c r="B14" s="2" t="inlineStr">
        <is>
          <t>Sin dato</t>
        </is>
      </c>
      <c r="C14" s="4" t="n">
        <v>10.660397</v>
      </c>
      <c r="D14" s="5" t="n">
        <v>119</v>
      </c>
      <c r="E14" s="5" t="n">
        <v>53</v>
      </c>
      <c r="F14" s="5" t="n">
        <v>4</v>
      </c>
      <c r="G14" s="5" t="n">
        <v>1</v>
      </c>
      <c r="H14" s="5" t="n">
        <v>0</v>
      </c>
      <c r="I14" s="5" t="n">
        <v>1</v>
      </c>
      <c r="J14" s="5" t="n">
        <v>7</v>
      </c>
      <c r="K14" s="5" t="n">
        <v>0</v>
      </c>
      <c r="L14" s="5" t="n">
        <v>0</v>
      </c>
      <c r="M14" s="5" t="n">
        <v>2</v>
      </c>
      <c r="N14" s="5" t="n">
        <v>0</v>
      </c>
      <c r="O14" s="5" t="n">
        <v>4</v>
      </c>
      <c r="P14" s="5" t="n">
        <v>4</v>
      </c>
      <c r="Q14" s="5" t="n">
        <v>3</v>
      </c>
      <c r="R14" s="5" t="n">
        <v>3</v>
      </c>
      <c r="S14" s="5" t="n">
        <v>1</v>
      </c>
      <c r="T14" s="5" t="n">
        <v>3</v>
      </c>
      <c r="U14" s="8">
        <f>IF(E14&gt;0,D14/E14,"")</f>
        <v/>
      </c>
      <c r="V14" s="6">
        <f>IF(D14&gt;0,G14/D14,"")</f>
        <v/>
      </c>
      <c r="W14" s="4">
        <f>IF(D14&gt;0,C14/D14*1000,"")</f>
        <v/>
      </c>
      <c r="X14" s="4">
        <f>IF(G14&gt;0,C14/G14,"")</f>
        <v/>
      </c>
      <c r="Y14" s="4">
        <f>IF(I14&gt;0,C14/I14,"")</f>
        <v/>
      </c>
      <c r="Z14" s="7">
        <f>IF(G14&gt;0,H14/G14,"")</f>
        <v/>
      </c>
      <c r="AA14" s="7">
        <f>IF(H14&gt;0,I14/H14,"")</f>
        <v/>
      </c>
      <c r="AB14" s="6">
        <f>IF(D14&gt;0,J14/D14,"")</f>
        <v/>
      </c>
      <c r="AC14" s="7">
        <f>IF(D14&gt;0,O14/D14,"")</f>
        <v/>
      </c>
      <c r="AD14" s="7">
        <f>IF(O14&gt;0,S14/O14,"")</f>
        <v/>
      </c>
    </row>
    <row r="15">
      <c r="A15" s="2" t="inlineStr">
        <is>
          <t>18-24</t>
        </is>
      </c>
      <c r="B15" s="2" t="inlineStr">
        <is>
          <t>Mujer</t>
        </is>
      </c>
      <c r="C15" s="4" t="n">
        <v>9.430351</v>
      </c>
      <c r="D15" s="5" t="n">
        <v>716</v>
      </c>
      <c r="E15" s="5" t="n">
        <v>454</v>
      </c>
      <c r="F15" s="5" t="n">
        <v>22</v>
      </c>
      <c r="G15" s="5" t="n">
        <v>13</v>
      </c>
      <c r="H15" s="5" t="n">
        <v>0</v>
      </c>
      <c r="I15" s="5" t="n">
        <v>6</v>
      </c>
      <c r="J15" s="5" t="n">
        <v>26</v>
      </c>
      <c r="K15" s="5" t="n">
        <v>2</v>
      </c>
      <c r="L15" s="5" t="n">
        <v>0</v>
      </c>
      <c r="M15" s="5" t="n">
        <v>1</v>
      </c>
      <c r="N15" s="5" t="n">
        <v>1</v>
      </c>
      <c r="O15" s="5" t="n">
        <v>9</v>
      </c>
      <c r="P15" s="5" t="n">
        <v>3</v>
      </c>
      <c r="Q15" s="5" t="n">
        <v>4</v>
      </c>
      <c r="R15" s="5" t="n">
        <v>2</v>
      </c>
      <c r="S15" s="5" t="n">
        <v>0</v>
      </c>
      <c r="T15" s="5" t="n">
        <v>2</v>
      </c>
      <c r="U15" s="8">
        <f>IF(E15&gt;0,D15/E15,"")</f>
        <v/>
      </c>
      <c r="V15" s="6">
        <f>IF(D15&gt;0,G15/D15,"")</f>
        <v/>
      </c>
      <c r="W15" s="4">
        <f>IF(D15&gt;0,C15/D15*1000,"")</f>
        <v/>
      </c>
      <c r="X15" s="4">
        <f>IF(G15&gt;0,C15/G15,"")</f>
        <v/>
      </c>
      <c r="Y15" s="4">
        <f>IF(I15&gt;0,C15/I15,"")</f>
        <v/>
      </c>
      <c r="Z15" s="7">
        <f>IF(G15&gt;0,H15/G15,"")</f>
        <v/>
      </c>
      <c r="AA15" s="7">
        <f>IF(H15&gt;0,I15/H15,"")</f>
        <v/>
      </c>
      <c r="AB15" s="6">
        <f>IF(D15&gt;0,J15/D15,"")</f>
        <v/>
      </c>
      <c r="AC15" s="7">
        <f>IF(D15&gt;0,O15/D15,"")</f>
        <v/>
      </c>
      <c r="AD15" s="7">
        <f>IF(O15&gt;0,S15/O15,"")</f>
        <v/>
      </c>
    </row>
    <row r="16">
      <c r="A16" s="2" t="inlineStr">
        <is>
          <t>65+</t>
        </is>
      </c>
      <c r="B16" s="2" t="inlineStr">
        <is>
          <t>Sin dato</t>
        </is>
      </c>
      <c r="C16" s="4" t="n">
        <v>7.670286</v>
      </c>
      <c r="D16" s="5" t="n">
        <v>189</v>
      </c>
      <c r="E16" s="5" t="n">
        <v>71</v>
      </c>
      <c r="F16" s="5" t="n">
        <v>6</v>
      </c>
      <c r="G16" s="5" t="n">
        <v>3</v>
      </c>
      <c r="H16" s="5" t="n">
        <v>1</v>
      </c>
      <c r="I16" s="5" t="n">
        <v>0</v>
      </c>
      <c r="J16" s="5" t="n">
        <v>4</v>
      </c>
      <c r="K16" s="5" t="n">
        <v>0</v>
      </c>
      <c r="L16" s="5" t="n">
        <v>0</v>
      </c>
      <c r="M16" s="5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8">
        <f>IF(E16&gt;0,D16/E16,"")</f>
        <v/>
      </c>
      <c r="V16" s="6">
        <f>IF(D16&gt;0,G16/D16,"")</f>
        <v/>
      </c>
      <c r="W16" s="4">
        <f>IF(D16&gt;0,C16/D16*1000,"")</f>
        <v/>
      </c>
      <c r="X16" s="4">
        <f>IF(G16&gt;0,C16/G16,"")</f>
        <v/>
      </c>
      <c r="Y16" s="4">
        <f>IF(I16&gt;0,C16/I16,"")</f>
        <v/>
      </c>
      <c r="Z16" s="7">
        <f>IF(G16&gt;0,H16/G16,"")</f>
        <v/>
      </c>
      <c r="AA16" s="7">
        <f>IF(H16&gt;0,I16/H16,"")</f>
        <v/>
      </c>
      <c r="AB16" s="6">
        <f>IF(D16&gt;0,J16/D16,"")</f>
        <v/>
      </c>
      <c r="AC16" s="7">
        <f>IF(D16&gt;0,O16/D16,"")</f>
        <v/>
      </c>
      <c r="AD16" s="7">
        <f>IF(O16&gt;0,S16/O16,"")</f>
        <v/>
      </c>
    </row>
    <row r="17">
      <c r="A17" s="2" t="inlineStr">
        <is>
          <t>45-54</t>
        </is>
      </c>
      <c r="B17" s="2" t="inlineStr">
        <is>
          <t>Sin dato</t>
        </is>
      </c>
      <c r="C17" s="4" t="n">
        <v>3.650136</v>
      </c>
      <c r="D17" s="5" t="n">
        <v>120</v>
      </c>
      <c r="E17" s="5" t="n">
        <v>52</v>
      </c>
      <c r="F17" s="5" t="n">
        <v>4</v>
      </c>
      <c r="G17" s="5" t="n">
        <v>1</v>
      </c>
      <c r="H17" s="5" t="n">
        <v>0</v>
      </c>
      <c r="I17" s="5" t="n">
        <v>1</v>
      </c>
      <c r="J17" s="5" t="n">
        <v>4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3</v>
      </c>
      <c r="P17" s="5" t="n">
        <v>3</v>
      </c>
      <c r="Q17" s="5" t="n">
        <v>2</v>
      </c>
      <c r="R17" s="5" t="n">
        <v>0</v>
      </c>
      <c r="S17" s="5" t="n">
        <v>0</v>
      </c>
      <c r="T17" s="5" t="n">
        <v>0</v>
      </c>
      <c r="U17" s="8">
        <f>IF(E17&gt;0,D17/E17,"")</f>
        <v/>
      </c>
      <c r="V17" s="6">
        <f>IF(D17&gt;0,G17/D17,"")</f>
        <v/>
      </c>
      <c r="W17" s="4">
        <f>IF(D17&gt;0,C17/D17*1000,"")</f>
        <v/>
      </c>
      <c r="X17" s="4">
        <f>IF(G17&gt;0,C17/G17,"")</f>
        <v/>
      </c>
      <c r="Y17" s="4">
        <f>IF(I17&gt;0,C17/I17,"")</f>
        <v/>
      </c>
      <c r="Z17" s="7">
        <f>IF(G17&gt;0,H17/G17,"")</f>
        <v/>
      </c>
      <c r="AA17" s="7">
        <f>IF(H17&gt;0,I17/H17,"")</f>
        <v/>
      </c>
      <c r="AB17" s="6">
        <f>IF(D17&gt;0,J17/D17,"")</f>
        <v/>
      </c>
      <c r="AC17" s="7">
        <f>IF(D17&gt;0,O17/D17,"")</f>
        <v/>
      </c>
      <c r="AD17" s="7">
        <f>IF(O17&gt;0,S17/O17,"")</f>
        <v/>
      </c>
    </row>
    <row r="18">
      <c r="A18" s="2" t="inlineStr">
        <is>
          <t>18-24</t>
        </is>
      </c>
      <c r="B18" s="2" t="inlineStr">
        <is>
          <t>Sin dato</t>
        </is>
      </c>
      <c r="C18" s="4" t="n">
        <v>0.960036</v>
      </c>
      <c r="D18" s="5" t="n">
        <v>98</v>
      </c>
      <c r="E18" s="5" t="n">
        <v>38</v>
      </c>
      <c r="F18" s="5" t="n">
        <v>2</v>
      </c>
      <c r="G18" s="5" t="n">
        <v>1</v>
      </c>
      <c r="H18" s="5" t="n">
        <v>0</v>
      </c>
      <c r="I18" s="5" t="n">
        <v>1</v>
      </c>
      <c r="J18" s="5" t="n">
        <v>4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3</v>
      </c>
      <c r="P18" s="5" t="n">
        <v>1</v>
      </c>
      <c r="Q18" s="5" t="n">
        <v>2</v>
      </c>
      <c r="R18" s="5" t="n">
        <v>2</v>
      </c>
      <c r="S18" s="5" t="n">
        <v>0</v>
      </c>
      <c r="T18" s="5" t="n">
        <v>1</v>
      </c>
      <c r="U18" s="8">
        <f>IF(E18&gt;0,D18/E18,"")</f>
        <v/>
      </c>
      <c r="V18" s="6">
        <f>IF(D18&gt;0,G18/D18,"")</f>
        <v/>
      </c>
      <c r="W18" s="4">
        <f>IF(D18&gt;0,C18/D18*1000,"")</f>
        <v/>
      </c>
      <c r="X18" s="4">
        <f>IF(G18&gt;0,C18/G18,"")</f>
        <v/>
      </c>
      <c r="Y18" s="4">
        <f>IF(I18&gt;0,C18/I18,"")</f>
        <v/>
      </c>
      <c r="Z18" s="7">
        <f>IF(G18&gt;0,H18/G18,"")</f>
        <v/>
      </c>
      <c r="AA18" s="7">
        <f>IF(H18&gt;0,I18/H18,"")</f>
        <v/>
      </c>
      <c r="AB18" s="6">
        <f>IF(D18&gt;0,J18/D18,"")</f>
        <v/>
      </c>
      <c r="AC18" s="7">
        <f>IF(D18&gt;0,O18/D18,"")</f>
        <v/>
      </c>
      <c r="AD18" s="7">
        <f>IF(O18&gt;0,S18/O18,"")</f>
        <v/>
      </c>
    </row>
    <row r="19">
      <c r="A19" s="2" t="inlineStr">
        <is>
          <t>25-34</t>
        </is>
      </c>
      <c r="B19" s="2" t="inlineStr">
        <is>
          <t>Sin dato</t>
        </is>
      </c>
      <c r="C19" s="4" t="n">
        <v>0.960036</v>
      </c>
      <c r="D19" s="5" t="n">
        <v>96</v>
      </c>
      <c r="E19" s="5" t="n">
        <v>56</v>
      </c>
      <c r="F19" s="5" t="n">
        <v>4</v>
      </c>
      <c r="G19" s="5" t="n">
        <v>1</v>
      </c>
      <c r="H19" s="5" t="n">
        <v>0</v>
      </c>
      <c r="I19" s="5" t="n">
        <v>1</v>
      </c>
      <c r="J19" s="5" t="n">
        <v>3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2</v>
      </c>
      <c r="P19" s="5" t="n">
        <v>2</v>
      </c>
      <c r="Q19" s="5" t="n">
        <v>1</v>
      </c>
      <c r="R19" s="5" t="n">
        <v>1</v>
      </c>
      <c r="S19" s="5" t="n">
        <v>1</v>
      </c>
      <c r="T19" s="5" t="n">
        <v>1</v>
      </c>
      <c r="U19" s="8">
        <f>IF(E19&gt;0,D19/E19,"")</f>
        <v/>
      </c>
      <c r="V19" s="6">
        <f>IF(D19&gt;0,G19/D19,"")</f>
        <v/>
      </c>
      <c r="W19" s="4">
        <f>IF(D19&gt;0,C19/D19*1000,"")</f>
        <v/>
      </c>
      <c r="X19" s="4">
        <f>IF(G19&gt;0,C19/G19,"")</f>
        <v/>
      </c>
      <c r="Y19" s="4">
        <f>IF(I19&gt;0,C19/I19,"")</f>
        <v/>
      </c>
      <c r="Z19" s="7">
        <f>IF(G19&gt;0,H19/G19,"")</f>
        <v/>
      </c>
      <c r="AA19" s="7">
        <f>IF(H19&gt;0,I19/H19,"")</f>
        <v/>
      </c>
      <c r="AB19" s="6">
        <f>IF(D19&gt;0,J19/D19,"")</f>
        <v/>
      </c>
      <c r="AC19" s="7">
        <f>IF(D19&gt;0,O19/D19,"")</f>
        <v/>
      </c>
      <c r="AD19" s="7">
        <f>IF(O19&gt;0,S19/O19,"")</f>
        <v/>
      </c>
    </row>
    <row r="20">
      <c r="A20" s="2" t="inlineStr">
        <is>
          <t>Unknown</t>
        </is>
      </c>
      <c r="B20" s="2" t="inlineStr">
        <is>
          <t>Hombre</t>
        </is>
      </c>
      <c r="C20" s="4" t="n">
        <v>0.01</v>
      </c>
      <c r="D20" s="5" t="n">
        <v>1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8">
        <f>IF(E20&gt;0,D20/E20,"")</f>
        <v/>
      </c>
      <c r="V20" s="6">
        <f>IF(D20&gt;0,G20/D20,"")</f>
        <v/>
      </c>
      <c r="W20" s="4">
        <f>IF(D20&gt;0,C20/D20*1000,"")</f>
        <v/>
      </c>
      <c r="X20" s="4">
        <f>IF(G20&gt;0,C20/G20,"")</f>
        <v/>
      </c>
      <c r="Y20" s="4">
        <f>IF(I20&gt;0,C20/I20,"")</f>
        <v/>
      </c>
      <c r="Z20" s="7">
        <f>IF(G20&gt;0,H20/G20,"")</f>
        <v/>
      </c>
      <c r="AA20" s="7">
        <f>IF(H20&gt;0,I20/H20,"")</f>
        <v/>
      </c>
      <c r="AB20" s="6">
        <f>IF(D20&gt;0,J20/D20,"")</f>
        <v/>
      </c>
      <c r="AC20" s="7">
        <f>IF(D20&gt;0,O20/D20,"")</f>
        <v/>
      </c>
      <c r="AD20" s="7">
        <f>IF(O20&gt;0,S20/O20,"")</f>
        <v/>
      </c>
    </row>
    <row r="21">
      <c r="A21" s="2" t="inlineStr">
        <is>
          <t>Unknown</t>
        </is>
      </c>
      <c r="B21" s="2" t="inlineStr">
        <is>
          <t>Sin dato</t>
        </is>
      </c>
      <c r="C21" s="4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3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8">
        <f>IF(E21&gt;0,D21/E21,"")</f>
        <v/>
      </c>
      <c r="V21" s="6">
        <f>IF(D21&gt;0,G21/D21,"")</f>
        <v/>
      </c>
      <c r="W21" s="4">
        <f>IF(D21&gt;0,C21/D21*1000,"")</f>
        <v/>
      </c>
      <c r="X21" s="4">
        <f>IF(G21&gt;0,C21/G21,"")</f>
        <v/>
      </c>
      <c r="Y21" s="4">
        <f>IF(I21&gt;0,C21/I21,"")</f>
        <v/>
      </c>
      <c r="Z21" s="7">
        <f>IF(G21&gt;0,H21/G21,"")</f>
        <v/>
      </c>
      <c r="AA21" s="7">
        <f>IF(H21&gt;0,I21/H21,"")</f>
        <v/>
      </c>
      <c r="AB21" s="6">
        <f>IF(D21&gt;0,J21/D21,"")</f>
        <v/>
      </c>
      <c r="AC21" s="7">
        <f>IF(D21&gt;0,O21/D21,"")</f>
        <v/>
      </c>
      <c r="AD21" s="7">
        <f>IF(O21&gt;0,S21/O21,"")</f>
        <v/>
      </c>
    </row>
    <row r="22">
      <c r="A22" s="11" t="inlineStr">
        <is>
          <t>Total</t>
        </is>
      </c>
      <c r="B22" s="11" t="n"/>
      <c r="C22" s="12">
        <f>SUM(C2:C21)</f>
        <v/>
      </c>
      <c r="D22" s="13">
        <f>SUM(D2:D21)</f>
        <v/>
      </c>
      <c r="E22" s="13" t="n"/>
      <c r="F22" s="13">
        <f>SUM(F2:F21)</f>
        <v/>
      </c>
      <c r="G22" s="13">
        <f>SUM(G2:G21)</f>
        <v/>
      </c>
      <c r="H22" s="13">
        <f>SUM(H2:H21)</f>
        <v/>
      </c>
      <c r="I22" s="13">
        <f>SUM(I2:I21)</f>
        <v/>
      </c>
      <c r="J22" s="13">
        <f>SUM(J2:J21)</f>
        <v/>
      </c>
      <c r="K22" s="13">
        <f>SUM(K2:K21)</f>
        <v/>
      </c>
      <c r="L22" s="13">
        <f>SUM(L2:L21)</f>
        <v/>
      </c>
      <c r="M22" s="13">
        <f>SUM(M2:M21)</f>
        <v/>
      </c>
      <c r="N22" s="13">
        <f>SUM(N2:N21)</f>
        <v/>
      </c>
      <c r="O22" s="13">
        <f>SUM(O2:O21)</f>
        <v/>
      </c>
      <c r="P22" s="13">
        <f>SUM(P2:P21)</f>
        <v/>
      </c>
      <c r="Q22" s="13">
        <f>SUM(Q2:Q21)</f>
        <v/>
      </c>
      <c r="R22" s="13">
        <f>SUM(R2:R21)</f>
        <v/>
      </c>
      <c r="S22" s="13">
        <f>SUM(S2:S21)</f>
        <v/>
      </c>
      <c r="T22" s="13">
        <f>SUM(T2:T21)</f>
        <v/>
      </c>
      <c r="U22" s="14">
        <f>IF(E22&gt;0,D22/E22,"")</f>
        <v/>
      </c>
      <c r="V22" s="15">
        <f>IF(D22&gt;0,G22/D22,"")</f>
        <v/>
      </c>
      <c r="W22" s="12">
        <f>IF(D22&gt;0,C22/D22*1000,"")</f>
        <v/>
      </c>
      <c r="X22" s="12">
        <f>IF(G22&gt;0,C22/G22,"")</f>
        <v/>
      </c>
      <c r="Y22" s="12">
        <f>IF(I22&gt;0,C22/I22,"")</f>
        <v/>
      </c>
      <c r="Z22" s="16">
        <f>IF(G22&gt;0,H22/G22,"")</f>
        <v/>
      </c>
      <c r="AA22" s="16">
        <f>IF(H22&gt;0,I22/H22,"")</f>
        <v/>
      </c>
      <c r="AB22" s="15">
        <f>IF(D22&gt;0,J22/D22,"")</f>
        <v/>
      </c>
      <c r="AC22" s="16">
        <f>IF(D22&gt;0,O22/D22,"")</f>
        <v/>
      </c>
      <c r="AD22" s="16">
        <f>IF(O22&gt;0,S22/O22,"")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Región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Florida</t>
        </is>
      </c>
      <c r="B2" s="4" t="n">
        <v>3205.569371</v>
      </c>
      <c r="C2" s="5" t="n">
        <v>85783</v>
      </c>
      <c r="D2" s="5" t="n">
        <v>37221</v>
      </c>
      <c r="E2" s="5" t="n">
        <v>1781</v>
      </c>
      <c r="F2" s="5" t="n">
        <v>1072</v>
      </c>
      <c r="G2" s="5" t="n">
        <v>0</v>
      </c>
      <c r="H2" s="5" t="n">
        <v>0</v>
      </c>
      <c r="I2" s="5" t="n">
        <v>3905</v>
      </c>
      <c r="J2" s="5" t="n">
        <v>89</v>
      </c>
      <c r="K2" s="5" t="n">
        <v>9</v>
      </c>
      <c r="L2" s="5" t="n">
        <v>11</v>
      </c>
      <c r="M2" s="5" t="n">
        <v>14</v>
      </c>
      <c r="N2" s="5" t="n">
        <v>2710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Distrito Especial</t>
        </is>
      </c>
      <c r="B3" s="4" t="n">
        <v>15.140564</v>
      </c>
      <c r="C3" s="5" t="n">
        <v>4684</v>
      </c>
      <c r="D3" s="5" t="n">
        <v>2963</v>
      </c>
      <c r="E3" s="5" t="n">
        <v>395</v>
      </c>
      <c r="F3" s="5" t="n">
        <v>163</v>
      </c>
      <c r="G3" s="5" t="n">
        <v>0</v>
      </c>
      <c r="H3" s="5" t="n">
        <v>0</v>
      </c>
      <c r="I3" s="5" t="n">
        <v>183</v>
      </c>
      <c r="J3" s="5" t="n">
        <v>10</v>
      </c>
      <c r="K3" s="5" t="n">
        <v>0</v>
      </c>
      <c r="L3" s="5" t="n">
        <v>5</v>
      </c>
      <c r="M3" s="5" t="n">
        <v>5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Cundinamarca</t>
        </is>
      </c>
      <c r="B4" s="4" t="n">
        <v>1.740065</v>
      </c>
      <c r="C4" s="5" t="n">
        <v>643</v>
      </c>
      <c r="D4" s="5" t="n">
        <v>391</v>
      </c>
      <c r="E4" s="5" t="n">
        <v>42</v>
      </c>
      <c r="F4" s="5" t="n">
        <v>20</v>
      </c>
      <c r="G4" s="5" t="n">
        <v>0</v>
      </c>
      <c r="H4" s="5" t="n">
        <v>0</v>
      </c>
      <c r="I4" s="5" t="n">
        <v>22</v>
      </c>
      <c r="J4" s="5" t="n">
        <v>1</v>
      </c>
      <c r="K4" s="5" t="n">
        <v>0</v>
      </c>
      <c r="L4" s="5" t="n">
        <v>0</v>
      </c>
      <c r="M4" s="5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2" t="inlineStr">
        <is>
          <t>Unknown</t>
        </is>
      </c>
      <c r="B5" s="4" t="n">
        <v>0</v>
      </c>
      <c r="C5" s="5" t="n">
        <v>0</v>
      </c>
      <c r="D5" s="5" t="n">
        <v>0</v>
      </c>
      <c r="E5" s="5" t="n">
        <v>0</v>
      </c>
      <c r="F5" s="5" t="n">
        <v>2</v>
      </c>
      <c r="G5" s="5" t="n">
        <v>0</v>
      </c>
      <c r="H5" s="5" t="n">
        <v>0</v>
      </c>
      <c r="I5" s="5" t="n">
        <v>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>
        <f>IF(D5&gt;0,C5/D5,"")</f>
        <v/>
      </c>
      <c r="U5" s="6">
        <f>IF(C5&gt;0,F5/C5,"")</f>
        <v/>
      </c>
      <c r="V5" s="4">
        <f>IF(C5&gt;0,B5/C5*1000,"")</f>
        <v/>
      </c>
      <c r="W5" s="4">
        <f>IF(F5&gt;0,B5/F5,"")</f>
        <v/>
      </c>
      <c r="X5" s="4">
        <f>IF(H5&gt;0,B5/H5,"")</f>
        <v/>
      </c>
      <c r="Y5" s="7">
        <f>IF(F5&gt;0,G5/F5,"")</f>
        <v/>
      </c>
      <c r="Z5" s="7">
        <f>IF(G5&gt;0,H5/G5,"")</f>
        <v/>
      </c>
      <c r="AA5" s="6">
        <f>IF(C5&gt;0,I5/C5,"")</f>
        <v/>
      </c>
      <c r="AB5" s="7">
        <f>IF(C5&gt;0,N5/C5,"")</f>
        <v/>
      </c>
      <c r="AC5" s="7">
        <f>IF(N5&gt;0,R5/N5,"")</f>
        <v/>
      </c>
    </row>
    <row r="6">
      <c r="A6" s="11" t="inlineStr">
        <is>
          <t>Total</t>
        </is>
      </c>
      <c r="B6" s="12">
        <f>SUM(B2:B5)</f>
        <v/>
      </c>
      <c r="C6" s="13">
        <f>SUM(C2:C5)</f>
        <v/>
      </c>
      <c r="D6" s="13" t="n"/>
      <c r="E6" s="13">
        <f>SUM(E2:E5)</f>
        <v/>
      </c>
      <c r="F6" s="13">
        <f>SUM(F2:F5)</f>
        <v/>
      </c>
      <c r="G6" s="13">
        <f>SUM(G2:G5)</f>
        <v/>
      </c>
      <c r="H6" s="13">
        <f>SUM(H2:H5)</f>
        <v/>
      </c>
      <c r="I6" s="13">
        <f>SUM(I2:I5)</f>
        <v/>
      </c>
      <c r="J6" s="13">
        <f>SUM(J2:J5)</f>
        <v/>
      </c>
      <c r="K6" s="13">
        <f>SUM(K2:K5)</f>
        <v/>
      </c>
      <c r="L6" s="13">
        <f>SUM(L2:L5)</f>
        <v/>
      </c>
      <c r="M6" s="13">
        <f>SUM(M2:M5)</f>
        <v/>
      </c>
      <c r="N6" s="13">
        <f>SUM(N2:N5)</f>
        <v/>
      </c>
      <c r="O6" s="13">
        <f>SUM(O2:O5)</f>
        <v/>
      </c>
      <c r="P6" s="13">
        <f>SUM(P2:P5)</f>
        <v/>
      </c>
      <c r="Q6" s="13">
        <f>SUM(Q2:Q5)</f>
        <v/>
      </c>
      <c r="R6" s="13">
        <f>SUM(R2:R5)</f>
        <v/>
      </c>
      <c r="S6" s="13">
        <f>SUM(S2:S5)</f>
        <v/>
      </c>
      <c r="T6" s="14">
        <f>IF(D6&gt;0,C6/D6,"")</f>
        <v/>
      </c>
      <c r="U6" s="15">
        <f>IF(C6&gt;0,F6/C6,"")</f>
        <v/>
      </c>
      <c r="V6" s="12">
        <f>IF(C6&gt;0,B6/C6*1000,"")</f>
        <v/>
      </c>
      <c r="W6" s="12">
        <f>IF(F6&gt;0,B6/F6,"")</f>
        <v/>
      </c>
      <c r="X6" s="12">
        <f>IF(H6&gt;0,B6/H6,"")</f>
        <v/>
      </c>
      <c r="Y6" s="16">
        <f>IF(F6&gt;0,G6/F6,"")</f>
        <v/>
      </c>
      <c r="Z6" s="16">
        <f>IF(G6&gt;0,H6/G6,"")</f>
        <v/>
      </c>
      <c r="AA6" s="15">
        <f>IF(C6&gt;0,I6/C6,"")</f>
        <v/>
      </c>
      <c r="AB6" s="16">
        <f>IF(C6&gt;0,N6/C6,"")</f>
        <v/>
      </c>
      <c r="AC6" s="16">
        <f>IF(N6&gt;0,R6/N6,"")</f>
        <v/>
      </c>
    </row>
    <row r="8">
      <c r="A8" s="17" t="inlineStr">
        <is>
          <t>Meta no reporta landing page views ni leads por región (restricción de privacidad): esas columnas salen en 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32" customHeight="1">
      <c r="A1" s="10" t="inlineStr">
        <is>
          <t>Plataforma</t>
        </is>
      </c>
      <c r="B1" s="10" t="inlineStr">
        <is>
          <t>Posición</t>
        </is>
      </c>
      <c r="C1" s="10" t="inlineStr">
        <is>
          <t>Gasto (USD)</t>
        </is>
      </c>
      <c r="D1" s="10" t="inlineStr">
        <is>
          <t>Impresiones</t>
        </is>
      </c>
      <c r="E1" s="10" t="inlineStr">
        <is>
          <t>Alcance</t>
        </is>
      </c>
      <c r="F1" s="10" t="inlineStr">
        <is>
          <t>Clics (todos)</t>
        </is>
      </c>
      <c r="G1" s="10" t="inlineStr">
        <is>
          <t>Clics en enlace</t>
        </is>
      </c>
      <c r="H1" s="10" t="inlineStr">
        <is>
          <t>Landing page views</t>
        </is>
      </c>
      <c r="I1" s="10" t="inlineStr">
        <is>
          <t>Leads (Meta)</t>
        </is>
      </c>
      <c r="J1" s="10" t="inlineStr">
        <is>
          <t>Interacciones</t>
        </is>
      </c>
      <c r="K1" s="10" t="inlineStr">
        <is>
          <t>Reacciones</t>
        </is>
      </c>
      <c r="L1" s="10" t="inlineStr">
        <is>
          <t>Comentarios</t>
        </is>
      </c>
      <c r="M1" s="10" t="inlineStr">
        <is>
          <t>Compartidos</t>
        </is>
      </c>
      <c r="N1" s="10" t="inlineStr">
        <is>
          <t>Guardados</t>
        </is>
      </c>
      <c r="O1" s="10" t="inlineStr">
        <is>
          <t>Reproducciones 3 s</t>
        </is>
      </c>
      <c r="P1" s="10" t="inlineStr">
        <is>
          <t>Video 25%</t>
        </is>
      </c>
      <c r="Q1" s="10" t="inlineStr">
        <is>
          <t>Video 50%</t>
        </is>
      </c>
      <c r="R1" s="10" t="inlineStr">
        <is>
          <t>Video 75%</t>
        </is>
      </c>
      <c r="S1" s="10" t="inlineStr">
        <is>
          <t>Video 100%</t>
        </is>
      </c>
      <c r="T1" s="10" t="inlineStr">
        <is>
          <t>ThruPlay</t>
        </is>
      </c>
      <c r="U1" s="10" t="inlineStr">
        <is>
          <t>Frecuencia</t>
        </is>
      </c>
      <c r="V1" s="10" t="inlineStr">
        <is>
          <t>CTR enlace</t>
        </is>
      </c>
      <c r="W1" s="10" t="inlineStr">
        <is>
          <t>CPM (USD)</t>
        </is>
      </c>
      <c r="X1" s="10" t="inlineStr">
        <is>
          <t>CPC enlace (USD)</t>
        </is>
      </c>
      <c r="Y1" s="10" t="inlineStr">
        <is>
          <t>CPL Meta (USD)</t>
        </is>
      </c>
      <c r="Z1" s="10" t="inlineStr">
        <is>
          <t>Clic → LPV</t>
        </is>
      </c>
      <c r="AA1" s="10" t="inlineStr">
        <is>
          <t>LPV → lead</t>
        </is>
      </c>
      <c r="AB1" s="10" t="inlineStr">
        <is>
          <t>Tasa de interacción</t>
        </is>
      </c>
      <c r="AC1" s="10" t="inlineStr">
        <is>
          <t>Hook rate (3 s / imp.)</t>
        </is>
      </c>
      <c r="AD1" s="10" t="inlineStr">
        <is>
          <t>Retención 100% / 3 s</t>
        </is>
      </c>
    </row>
    <row r="2">
      <c r="A2" s="2" t="inlineStr">
        <is>
          <t>facebook</t>
        </is>
      </c>
      <c r="B2" s="2" t="inlineStr">
        <is>
          <t>feed</t>
        </is>
      </c>
      <c r="C2" s="4" t="n">
        <v>1580.088841</v>
      </c>
      <c r="D2" s="5" t="n">
        <v>33569</v>
      </c>
      <c r="E2" s="5" t="n">
        <v>15536</v>
      </c>
      <c r="F2" s="5" t="n">
        <v>997</v>
      </c>
      <c r="G2" s="5" t="n">
        <v>378</v>
      </c>
      <c r="H2" s="5" t="n">
        <v>93</v>
      </c>
      <c r="I2" s="5" t="n">
        <v>101</v>
      </c>
      <c r="J2" s="5" t="n">
        <v>1236</v>
      </c>
      <c r="K2" s="5" t="n">
        <v>32</v>
      </c>
      <c r="L2" s="5" t="n">
        <v>8</v>
      </c>
      <c r="M2" s="5" t="n">
        <v>2</v>
      </c>
      <c r="N2" s="5" t="n">
        <v>2</v>
      </c>
      <c r="O2" s="5" t="n">
        <v>814</v>
      </c>
      <c r="P2" s="5" t="n">
        <v>534</v>
      </c>
      <c r="Q2" s="5" t="n">
        <v>288</v>
      </c>
      <c r="R2" s="5" t="n">
        <v>196</v>
      </c>
      <c r="S2" s="5" t="n">
        <v>129</v>
      </c>
      <c r="T2" s="5" t="n">
        <v>174</v>
      </c>
      <c r="U2" s="8">
        <f>IF(E2&gt;0,D2/E2,"")</f>
        <v/>
      </c>
      <c r="V2" s="6">
        <f>IF(D2&gt;0,G2/D2,"")</f>
        <v/>
      </c>
      <c r="W2" s="4">
        <f>IF(D2&gt;0,C2/D2*1000,"")</f>
        <v/>
      </c>
      <c r="X2" s="4">
        <f>IF(G2&gt;0,C2/G2,"")</f>
        <v/>
      </c>
      <c r="Y2" s="4">
        <f>IF(I2&gt;0,C2/I2,"")</f>
        <v/>
      </c>
      <c r="Z2" s="7">
        <f>IF(G2&gt;0,H2/G2,"")</f>
        <v/>
      </c>
      <c r="AA2" s="7">
        <f>IF(H2&gt;0,I2/H2,"")</f>
        <v/>
      </c>
      <c r="AB2" s="6">
        <f>IF(D2&gt;0,J2/D2,"")</f>
        <v/>
      </c>
      <c r="AC2" s="7">
        <f>IF(D2&gt;0,O2/D2,"")</f>
        <v/>
      </c>
      <c r="AD2" s="7">
        <f>IF(O2&gt;0,S2/O2,"")</f>
        <v/>
      </c>
    </row>
    <row r="3">
      <c r="A3" s="2" t="inlineStr">
        <is>
          <t>instagram</t>
        </is>
      </c>
      <c r="B3" s="2" t="inlineStr">
        <is>
          <t>feed</t>
        </is>
      </c>
      <c r="C3" s="4" t="n">
        <v>444.68656</v>
      </c>
      <c r="D3" s="5" t="n">
        <v>8882</v>
      </c>
      <c r="E3" s="5" t="n">
        <v>5196</v>
      </c>
      <c r="F3" s="5" t="n">
        <v>183</v>
      </c>
      <c r="G3" s="5" t="n">
        <v>101</v>
      </c>
      <c r="H3" s="5" t="n">
        <v>35</v>
      </c>
      <c r="I3" s="5" t="n">
        <v>45</v>
      </c>
      <c r="J3" s="5" t="n">
        <v>467</v>
      </c>
      <c r="K3" s="5" t="n">
        <v>30</v>
      </c>
      <c r="L3" s="5" t="n">
        <v>0</v>
      </c>
      <c r="M3" s="5" t="n">
        <v>6</v>
      </c>
      <c r="N3" s="5" t="n">
        <v>14</v>
      </c>
      <c r="O3" s="5" t="n">
        <v>316</v>
      </c>
      <c r="P3" s="5" t="n">
        <v>172</v>
      </c>
      <c r="Q3" s="5" t="n">
        <v>84</v>
      </c>
      <c r="R3" s="5" t="n">
        <v>59</v>
      </c>
      <c r="S3" s="5" t="n">
        <v>47</v>
      </c>
      <c r="T3" s="5" t="n">
        <v>66</v>
      </c>
      <c r="U3" s="8">
        <f>IF(E3&gt;0,D3/E3,"")</f>
        <v/>
      </c>
      <c r="V3" s="6">
        <f>IF(D3&gt;0,G3/D3,"")</f>
        <v/>
      </c>
      <c r="W3" s="4">
        <f>IF(D3&gt;0,C3/D3*1000,"")</f>
        <v/>
      </c>
      <c r="X3" s="4">
        <f>IF(G3&gt;0,C3/G3,"")</f>
        <v/>
      </c>
      <c r="Y3" s="4">
        <f>IF(I3&gt;0,C3/I3,"")</f>
        <v/>
      </c>
      <c r="Z3" s="7">
        <f>IF(G3&gt;0,H3/G3,"")</f>
        <v/>
      </c>
      <c r="AA3" s="7">
        <f>IF(H3&gt;0,I3/H3,"")</f>
        <v/>
      </c>
      <c r="AB3" s="6">
        <f>IF(D3&gt;0,J3/D3,"")</f>
        <v/>
      </c>
      <c r="AC3" s="7">
        <f>IF(D3&gt;0,O3/D3,"")</f>
        <v/>
      </c>
      <c r="AD3" s="7">
        <f>IF(O3&gt;0,S3/O3,"")</f>
        <v/>
      </c>
    </row>
    <row r="4">
      <c r="A4" s="2" t="inlineStr">
        <is>
          <t>facebook</t>
        </is>
      </c>
      <c r="B4" s="2" t="inlineStr">
        <is>
          <t>facebook_reels</t>
        </is>
      </c>
      <c r="C4" s="4" t="n">
        <v>295.561006</v>
      </c>
      <c r="D4" s="5" t="n">
        <v>7512</v>
      </c>
      <c r="E4" s="5" t="n">
        <v>4748</v>
      </c>
      <c r="F4" s="5" t="n">
        <v>196</v>
      </c>
      <c r="G4" s="5" t="n">
        <v>122</v>
      </c>
      <c r="H4" s="5" t="n">
        <v>24</v>
      </c>
      <c r="I4" s="5" t="n">
        <v>27</v>
      </c>
      <c r="J4" s="5" t="n">
        <v>638</v>
      </c>
      <c r="K4" s="5" t="n">
        <v>21</v>
      </c>
      <c r="L4" s="5" t="n">
        <v>0</v>
      </c>
      <c r="M4" s="5" t="n">
        <v>0</v>
      </c>
      <c r="N4" s="5" t="n">
        <v>1</v>
      </c>
      <c r="O4" s="5" t="n">
        <v>494</v>
      </c>
      <c r="P4" s="5" t="n">
        <v>421</v>
      </c>
      <c r="Q4" s="5" t="n">
        <v>232</v>
      </c>
      <c r="R4" s="5" t="n">
        <v>123</v>
      </c>
      <c r="S4" s="5" t="n">
        <v>65</v>
      </c>
      <c r="T4" s="5" t="n">
        <v>73</v>
      </c>
      <c r="U4" s="8">
        <f>IF(E4&gt;0,D4/E4,"")</f>
        <v/>
      </c>
      <c r="V4" s="6">
        <f>IF(D4&gt;0,G4/D4,"")</f>
        <v/>
      </c>
      <c r="W4" s="4">
        <f>IF(D4&gt;0,C4/D4*1000,"")</f>
        <v/>
      </c>
      <c r="X4" s="4">
        <f>IF(G4&gt;0,C4/G4,"")</f>
        <v/>
      </c>
      <c r="Y4" s="4">
        <f>IF(I4&gt;0,C4/I4,"")</f>
        <v/>
      </c>
      <c r="Z4" s="7">
        <f>IF(G4&gt;0,H4/G4,"")</f>
        <v/>
      </c>
      <c r="AA4" s="7">
        <f>IF(H4&gt;0,I4/H4,"")</f>
        <v/>
      </c>
      <c r="AB4" s="6">
        <f>IF(D4&gt;0,J4/D4,"")</f>
        <v/>
      </c>
      <c r="AC4" s="7">
        <f>IF(D4&gt;0,O4/D4,"")</f>
        <v/>
      </c>
      <c r="AD4" s="7">
        <f>IF(O4&gt;0,S4/O4,"")</f>
        <v/>
      </c>
    </row>
    <row r="5">
      <c r="A5" s="2" t="inlineStr">
        <is>
          <t>instagram</t>
        </is>
      </c>
      <c r="B5" s="2" t="inlineStr">
        <is>
          <t>instagram_stories</t>
        </is>
      </c>
      <c r="C5" s="4" t="n">
        <v>284.730603</v>
      </c>
      <c r="D5" s="5" t="n">
        <v>13755</v>
      </c>
      <c r="E5" s="5" t="n">
        <v>6029</v>
      </c>
      <c r="F5" s="5" t="n">
        <v>320</v>
      </c>
      <c r="G5" s="5" t="n">
        <v>213</v>
      </c>
      <c r="H5" s="5" t="n">
        <v>8</v>
      </c>
      <c r="I5" s="5" t="n">
        <v>58</v>
      </c>
      <c r="J5" s="5" t="n">
        <v>904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691</v>
      </c>
      <c r="P5" s="5" t="n">
        <v>377</v>
      </c>
      <c r="Q5" s="5" t="n">
        <v>359</v>
      </c>
      <c r="R5" s="5" t="n">
        <v>173</v>
      </c>
      <c r="S5" s="5" t="n">
        <v>111</v>
      </c>
      <c r="T5" s="5" t="n">
        <v>178</v>
      </c>
      <c r="U5" s="8">
        <f>IF(E5&gt;0,D5/E5,"")</f>
        <v/>
      </c>
      <c r="V5" s="6">
        <f>IF(D5&gt;0,G5/D5,"")</f>
        <v/>
      </c>
      <c r="W5" s="4">
        <f>IF(D5&gt;0,C5/D5*1000,"")</f>
        <v/>
      </c>
      <c r="X5" s="4">
        <f>IF(G5&gt;0,C5/G5,"")</f>
        <v/>
      </c>
      <c r="Y5" s="4">
        <f>IF(I5&gt;0,C5/I5,"")</f>
        <v/>
      </c>
      <c r="Z5" s="7">
        <f>IF(G5&gt;0,H5/G5,"")</f>
        <v/>
      </c>
      <c r="AA5" s="7">
        <f>IF(H5&gt;0,I5/H5,"")</f>
        <v/>
      </c>
      <c r="AB5" s="6">
        <f>IF(D5&gt;0,J5/D5,"")</f>
        <v/>
      </c>
      <c r="AC5" s="7">
        <f>IF(D5&gt;0,O5/D5,"")</f>
        <v/>
      </c>
      <c r="AD5" s="7">
        <f>IF(O5&gt;0,S5/O5,"")</f>
        <v/>
      </c>
    </row>
    <row r="6">
      <c r="A6" s="2" t="inlineStr">
        <is>
          <t>instagram</t>
        </is>
      </c>
      <c r="B6" s="2" t="inlineStr">
        <is>
          <t>instagram_reels</t>
        </is>
      </c>
      <c r="C6" s="4" t="n">
        <v>162.056035</v>
      </c>
      <c r="D6" s="5" t="n">
        <v>5282</v>
      </c>
      <c r="E6" s="5" t="n">
        <v>3537</v>
      </c>
      <c r="F6" s="5" t="n">
        <v>171</v>
      </c>
      <c r="G6" s="5" t="n">
        <v>113</v>
      </c>
      <c r="H6" s="5" t="n">
        <v>11</v>
      </c>
      <c r="I6" s="5" t="n">
        <v>47</v>
      </c>
      <c r="J6" s="5" t="n">
        <v>304</v>
      </c>
      <c r="K6" s="5" t="n">
        <v>10</v>
      </c>
      <c r="L6" s="5" t="n">
        <v>1</v>
      </c>
      <c r="M6" s="5" t="n">
        <v>8</v>
      </c>
      <c r="N6" s="5" t="n">
        <v>3</v>
      </c>
      <c r="O6" s="5" t="n">
        <v>169</v>
      </c>
      <c r="P6" s="5" t="n">
        <v>100</v>
      </c>
      <c r="Q6" s="5" t="n">
        <v>60</v>
      </c>
      <c r="R6" s="5" t="n">
        <v>44</v>
      </c>
      <c r="S6" s="5" t="n">
        <v>30</v>
      </c>
      <c r="T6" s="5" t="n">
        <v>50</v>
      </c>
      <c r="U6" s="8">
        <f>IF(E6&gt;0,D6/E6,"")</f>
        <v/>
      </c>
      <c r="V6" s="6">
        <f>IF(D6&gt;0,G6/D6,"")</f>
        <v/>
      </c>
      <c r="W6" s="4">
        <f>IF(D6&gt;0,C6/D6*1000,"")</f>
        <v/>
      </c>
      <c r="X6" s="4">
        <f>IF(G6&gt;0,C6/G6,"")</f>
        <v/>
      </c>
      <c r="Y6" s="4">
        <f>IF(I6&gt;0,C6/I6,"")</f>
        <v/>
      </c>
      <c r="Z6" s="7">
        <f>IF(G6&gt;0,H6/G6,"")</f>
        <v/>
      </c>
      <c r="AA6" s="7">
        <f>IF(H6&gt;0,I6/H6,"")</f>
        <v/>
      </c>
      <c r="AB6" s="6">
        <f>IF(D6&gt;0,J6/D6,"")</f>
        <v/>
      </c>
      <c r="AC6" s="7">
        <f>IF(D6&gt;0,O6/D6,"")</f>
        <v/>
      </c>
      <c r="AD6" s="7">
        <f>IF(O6&gt;0,S6/O6,"")</f>
        <v/>
      </c>
    </row>
    <row r="7">
      <c r="A7" s="2" t="inlineStr">
        <is>
          <t>facebook</t>
        </is>
      </c>
      <c r="B7" s="2" t="inlineStr">
        <is>
          <t>facebook_reels_overlay</t>
        </is>
      </c>
      <c r="C7" s="4" t="n">
        <v>113.434224</v>
      </c>
      <c r="D7" s="5" t="n">
        <v>8487</v>
      </c>
      <c r="E7" s="5" t="n">
        <v>6237</v>
      </c>
      <c r="F7" s="5" t="n">
        <v>86</v>
      </c>
      <c r="G7" s="5" t="n">
        <v>84</v>
      </c>
      <c r="H7" s="5" t="n">
        <v>19</v>
      </c>
      <c r="I7" s="5" t="n">
        <v>2</v>
      </c>
      <c r="J7" s="5" t="n">
        <v>93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9</v>
      </c>
      <c r="P7" s="5" t="n">
        <v>6</v>
      </c>
      <c r="Q7" s="5" t="n">
        <v>2</v>
      </c>
      <c r="R7" s="5" t="n">
        <v>1</v>
      </c>
      <c r="S7" s="5" t="n">
        <v>1</v>
      </c>
      <c r="T7" s="5" t="n">
        <v>1</v>
      </c>
      <c r="U7" s="8">
        <f>IF(E7&gt;0,D7/E7,"")</f>
        <v/>
      </c>
      <c r="V7" s="6">
        <f>IF(D7&gt;0,G7/D7,"")</f>
        <v/>
      </c>
      <c r="W7" s="4">
        <f>IF(D7&gt;0,C7/D7*1000,"")</f>
        <v/>
      </c>
      <c r="X7" s="4">
        <f>IF(G7&gt;0,C7/G7,"")</f>
        <v/>
      </c>
      <c r="Y7" s="4">
        <f>IF(I7&gt;0,C7/I7,"")</f>
        <v/>
      </c>
      <c r="Z7" s="7">
        <f>IF(G7&gt;0,H7/G7,"")</f>
        <v/>
      </c>
      <c r="AA7" s="7">
        <f>IF(H7&gt;0,I7/H7,"")</f>
        <v/>
      </c>
      <c r="AB7" s="6">
        <f>IF(D7&gt;0,J7/D7,"")</f>
        <v/>
      </c>
      <c r="AC7" s="7">
        <f>IF(D7&gt;0,O7/D7,"")</f>
        <v/>
      </c>
      <c r="AD7" s="7">
        <f>IF(O7&gt;0,S7/O7,"")</f>
        <v/>
      </c>
    </row>
    <row r="8">
      <c r="A8" s="2" t="inlineStr">
        <is>
          <t>facebook</t>
        </is>
      </c>
      <c r="B8" s="2" t="inlineStr">
        <is>
          <t>facebook_stories</t>
        </is>
      </c>
      <c r="C8" s="4" t="n">
        <v>95.21354599999999</v>
      </c>
      <c r="D8" s="5" t="n">
        <v>1226</v>
      </c>
      <c r="E8" s="5" t="n">
        <v>900</v>
      </c>
      <c r="F8" s="5" t="n">
        <v>63</v>
      </c>
      <c r="G8" s="5" t="n">
        <v>56</v>
      </c>
      <c r="H8" s="5" t="n">
        <v>8</v>
      </c>
      <c r="I8" s="5" t="n">
        <v>5</v>
      </c>
      <c r="J8" s="5" t="n">
        <v>108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52</v>
      </c>
      <c r="P8" s="5" t="n">
        <v>41</v>
      </c>
      <c r="Q8" s="5" t="n">
        <v>27</v>
      </c>
      <c r="R8" s="5" t="n">
        <v>17</v>
      </c>
      <c r="S8" s="5" t="n">
        <v>6</v>
      </c>
      <c r="T8" s="5" t="n">
        <v>25</v>
      </c>
      <c r="U8" s="8">
        <f>IF(E8&gt;0,D8/E8,"")</f>
        <v/>
      </c>
      <c r="V8" s="6">
        <f>IF(D8&gt;0,G8/D8,"")</f>
        <v/>
      </c>
      <c r="W8" s="4">
        <f>IF(D8&gt;0,C8/D8*1000,"")</f>
        <v/>
      </c>
      <c r="X8" s="4">
        <f>IF(G8&gt;0,C8/G8,"")</f>
        <v/>
      </c>
      <c r="Y8" s="4">
        <f>IF(I8&gt;0,C8/I8,"")</f>
        <v/>
      </c>
      <c r="Z8" s="7">
        <f>IF(G8&gt;0,H8/G8,"")</f>
        <v/>
      </c>
      <c r="AA8" s="7">
        <f>IF(H8&gt;0,I8/H8,"")</f>
        <v/>
      </c>
      <c r="AB8" s="6">
        <f>IF(D8&gt;0,J8/D8,"")</f>
        <v/>
      </c>
      <c r="AC8" s="7">
        <f>IF(D8&gt;0,O8/D8,"")</f>
        <v/>
      </c>
      <c r="AD8" s="7">
        <f>IF(O8&gt;0,S8/O8,"")</f>
        <v/>
      </c>
    </row>
    <row r="9">
      <c r="A9" s="2" t="inlineStr">
        <is>
          <t>audience_network</t>
        </is>
      </c>
      <c r="B9" s="2" t="inlineStr">
        <is>
          <t>an_classic</t>
        </is>
      </c>
      <c r="C9" s="4" t="n">
        <v>72.082684</v>
      </c>
      <c r="D9" s="5" t="n">
        <v>5852</v>
      </c>
      <c r="E9" s="5" t="n">
        <v>1909</v>
      </c>
      <c r="F9" s="5" t="n">
        <v>118</v>
      </c>
      <c r="G9" s="5" t="n">
        <v>126</v>
      </c>
      <c r="H9" s="5" t="n">
        <v>69</v>
      </c>
      <c r="I9" s="5" t="n">
        <v>0</v>
      </c>
      <c r="J9" s="5" t="n">
        <v>126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8">
        <f>IF(E9&gt;0,D9/E9,"")</f>
        <v/>
      </c>
      <c r="V9" s="6">
        <f>IF(D9&gt;0,G9/D9,"")</f>
        <v/>
      </c>
      <c r="W9" s="4">
        <f>IF(D9&gt;0,C9/D9*1000,"")</f>
        <v/>
      </c>
      <c r="X9" s="4">
        <f>IF(G9&gt;0,C9/G9,"")</f>
        <v/>
      </c>
      <c r="Y9" s="4">
        <f>IF(I9&gt;0,C9/I9,"")</f>
        <v/>
      </c>
      <c r="Z9" s="7">
        <f>IF(G9&gt;0,H9/G9,"")</f>
        <v/>
      </c>
      <c r="AA9" s="7">
        <f>IF(H9&gt;0,I9/H9,"")</f>
        <v/>
      </c>
      <c r="AB9" s="6">
        <f>IF(D9&gt;0,J9/D9,"")</f>
        <v/>
      </c>
      <c r="AC9" s="7">
        <f>IF(D9&gt;0,O9/D9,"")</f>
        <v/>
      </c>
      <c r="AD9" s="7">
        <f>IF(O9&gt;0,S9/O9,"")</f>
        <v/>
      </c>
    </row>
    <row r="10">
      <c r="A10" s="2" t="inlineStr">
        <is>
          <t>facebook</t>
        </is>
      </c>
      <c r="B10" s="2" t="inlineStr">
        <is>
          <t>marketplace</t>
        </is>
      </c>
      <c r="C10" s="4" t="n">
        <v>59.142202</v>
      </c>
      <c r="D10" s="5" t="n">
        <v>2897</v>
      </c>
      <c r="E10" s="5" t="n">
        <v>1619</v>
      </c>
      <c r="F10" s="5" t="n">
        <v>26</v>
      </c>
      <c r="G10" s="5" t="n">
        <v>25</v>
      </c>
      <c r="H10" s="5" t="n">
        <v>3</v>
      </c>
      <c r="I10" s="5" t="n">
        <v>1</v>
      </c>
      <c r="J10" s="5" t="n">
        <v>48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23</v>
      </c>
      <c r="P10" s="5" t="n">
        <v>15</v>
      </c>
      <c r="Q10" s="5" t="n">
        <v>7</v>
      </c>
      <c r="R10" s="5" t="n">
        <v>3</v>
      </c>
      <c r="S10" s="5" t="n">
        <v>4</v>
      </c>
      <c r="T10" s="5" t="n">
        <v>2</v>
      </c>
      <c r="U10" s="8">
        <f>IF(E10&gt;0,D10/E10,"")</f>
        <v/>
      </c>
      <c r="V10" s="6">
        <f>IF(D10&gt;0,G10/D10,"")</f>
        <v/>
      </c>
      <c r="W10" s="4">
        <f>IF(D10&gt;0,C10/D10*1000,"")</f>
        <v/>
      </c>
      <c r="X10" s="4">
        <f>IF(G10&gt;0,C10/G10,"")</f>
        <v/>
      </c>
      <c r="Y10" s="4">
        <f>IF(I10&gt;0,C10/I10,"")</f>
        <v/>
      </c>
      <c r="Z10" s="7">
        <f>IF(G10&gt;0,H10/G10,"")</f>
        <v/>
      </c>
      <c r="AA10" s="7">
        <f>IF(H10&gt;0,I10/H10,"")</f>
        <v/>
      </c>
      <c r="AB10" s="6">
        <f>IF(D10&gt;0,J10/D10,"")</f>
        <v/>
      </c>
      <c r="AC10" s="7">
        <f>IF(D10&gt;0,O10/D10,"")</f>
        <v/>
      </c>
      <c r="AD10" s="7">
        <f>IF(O10&gt;0,S10/O10,"")</f>
        <v/>
      </c>
    </row>
    <row r="11">
      <c r="A11" s="2" t="inlineStr">
        <is>
          <t>facebook</t>
        </is>
      </c>
      <c r="B11" s="2" t="inlineStr">
        <is>
          <t>search</t>
        </is>
      </c>
      <c r="C11" s="4" t="n">
        <v>46.321725</v>
      </c>
      <c r="D11" s="5" t="n">
        <v>1713</v>
      </c>
      <c r="E11" s="5" t="n">
        <v>1309</v>
      </c>
      <c r="F11" s="5" t="n">
        <v>18</v>
      </c>
      <c r="G11" s="5" t="n">
        <v>16</v>
      </c>
      <c r="H11" s="5" t="n">
        <v>5</v>
      </c>
      <c r="I11" s="5" t="n">
        <v>2</v>
      </c>
      <c r="J11" s="5" t="n">
        <v>52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36</v>
      </c>
      <c r="P11" s="5" t="n">
        <v>33</v>
      </c>
      <c r="Q11" s="5" t="n">
        <v>18</v>
      </c>
      <c r="R11" s="5" t="n">
        <v>13</v>
      </c>
      <c r="S11" s="5" t="n">
        <v>8</v>
      </c>
      <c r="T11" s="5" t="n">
        <v>10</v>
      </c>
      <c r="U11" s="8">
        <f>IF(E11&gt;0,D11/E11,"")</f>
        <v/>
      </c>
      <c r="V11" s="6">
        <f>IF(D11&gt;0,G11/D11,"")</f>
        <v/>
      </c>
      <c r="W11" s="4">
        <f>IF(D11&gt;0,C11/D11*1000,"")</f>
        <v/>
      </c>
      <c r="X11" s="4">
        <f>IF(G11&gt;0,C11/G11,"")</f>
        <v/>
      </c>
      <c r="Y11" s="4">
        <f>IF(I11&gt;0,C11/I11,"")</f>
        <v/>
      </c>
      <c r="Z11" s="7">
        <f>IF(G11&gt;0,H11/G11,"")</f>
        <v/>
      </c>
      <c r="AA11" s="7">
        <f>IF(H11&gt;0,I11/H11,"")</f>
        <v/>
      </c>
      <c r="AB11" s="6">
        <f>IF(D11&gt;0,J11/D11,"")</f>
        <v/>
      </c>
      <c r="AC11" s="7">
        <f>IF(D11&gt;0,O11/D11,"")</f>
        <v/>
      </c>
      <c r="AD11" s="7">
        <f>IF(O11&gt;0,S11/O11,"")</f>
        <v/>
      </c>
    </row>
    <row r="12">
      <c r="A12" s="2" t="inlineStr">
        <is>
          <t>facebook</t>
        </is>
      </c>
      <c r="B12" s="2" t="inlineStr">
        <is>
          <t>instream_video</t>
        </is>
      </c>
      <c r="C12" s="4" t="n">
        <v>35.931338</v>
      </c>
      <c r="D12" s="5" t="n">
        <v>830</v>
      </c>
      <c r="E12" s="5" t="n">
        <v>625</v>
      </c>
      <c r="F12" s="5" t="n">
        <v>29</v>
      </c>
      <c r="G12" s="5" t="n">
        <v>13</v>
      </c>
      <c r="H12" s="5" t="n">
        <v>0</v>
      </c>
      <c r="I12" s="5" t="n">
        <v>2</v>
      </c>
      <c r="J12" s="5" t="n">
        <v>121</v>
      </c>
      <c r="K12" s="5" t="n">
        <v>7</v>
      </c>
      <c r="L12" s="5" t="n">
        <v>0</v>
      </c>
      <c r="M12" s="5" t="n">
        <v>0</v>
      </c>
      <c r="N12" s="5" t="n">
        <v>0</v>
      </c>
      <c r="O12" s="5" t="n">
        <v>101</v>
      </c>
      <c r="P12" s="5" t="n">
        <v>80</v>
      </c>
      <c r="Q12" s="5" t="n">
        <v>64</v>
      </c>
      <c r="R12" s="5" t="n">
        <v>21</v>
      </c>
      <c r="S12" s="5" t="n">
        <v>8</v>
      </c>
      <c r="T12" s="5" t="n">
        <v>62</v>
      </c>
      <c r="U12" s="8">
        <f>IF(E12&gt;0,D12/E12,"")</f>
        <v/>
      </c>
      <c r="V12" s="6">
        <f>IF(D12&gt;0,G12/D12,"")</f>
        <v/>
      </c>
      <c r="W12" s="4">
        <f>IF(D12&gt;0,C12/D12*1000,"")</f>
        <v/>
      </c>
      <c r="X12" s="4">
        <f>IF(G12&gt;0,C12/G12,"")</f>
        <v/>
      </c>
      <c r="Y12" s="4">
        <f>IF(I12&gt;0,C12/I12,"")</f>
        <v/>
      </c>
      <c r="Z12" s="7">
        <f>IF(G12&gt;0,H12/G12,"")</f>
        <v/>
      </c>
      <c r="AA12" s="7">
        <f>IF(H12&gt;0,I12/H12,"")</f>
        <v/>
      </c>
      <c r="AB12" s="6">
        <f>IF(D12&gt;0,J12/D12,"")</f>
        <v/>
      </c>
      <c r="AC12" s="7">
        <f>IF(D12&gt;0,O12/D12,"")</f>
        <v/>
      </c>
      <c r="AD12" s="7">
        <f>IF(O12&gt;0,S12/O12,"")</f>
        <v/>
      </c>
    </row>
    <row r="13">
      <c r="A13" s="2" t="inlineStr">
        <is>
          <t>facebook</t>
        </is>
      </c>
      <c r="B13" s="2" t="inlineStr">
        <is>
          <t>facebook_notification</t>
        </is>
      </c>
      <c r="C13" s="4" t="n">
        <v>15.260568</v>
      </c>
      <c r="D13" s="5" t="n">
        <v>106</v>
      </c>
      <c r="E13" s="5" t="n">
        <v>93</v>
      </c>
      <c r="F13" s="5" t="n">
        <v>7</v>
      </c>
      <c r="G13" s="5" t="n">
        <v>7</v>
      </c>
      <c r="H13" s="5" t="n">
        <v>0</v>
      </c>
      <c r="I13" s="5" t="n">
        <v>0</v>
      </c>
      <c r="J13" s="5" t="n">
        <v>7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8">
        <f>IF(E13&gt;0,D13/E13,"")</f>
        <v/>
      </c>
      <c r="V13" s="6">
        <f>IF(D13&gt;0,G13/D13,"")</f>
        <v/>
      </c>
      <c r="W13" s="4">
        <f>IF(D13&gt;0,C13/D13*1000,"")</f>
        <v/>
      </c>
      <c r="X13" s="4">
        <f>IF(G13&gt;0,C13/G13,"")</f>
        <v/>
      </c>
      <c r="Y13" s="4">
        <f>IF(I13&gt;0,C13/I13,"")</f>
        <v/>
      </c>
      <c r="Z13" s="7">
        <f>IF(G13&gt;0,H13/G13,"")</f>
        <v/>
      </c>
      <c r="AA13" s="7">
        <f>IF(H13&gt;0,I13/H13,"")</f>
        <v/>
      </c>
      <c r="AB13" s="6">
        <f>IF(D13&gt;0,J13/D13,"")</f>
        <v/>
      </c>
      <c r="AC13" s="7">
        <f>IF(D13&gt;0,O13/D13,"")</f>
        <v/>
      </c>
      <c r="AD13" s="7">
        <f>IF(O13&gt;0,S13/O13,"")</f>
        <v/>
      </c>
    </row>
    <row r="14">
      <c r="A14" s="2" t="inlineStr">
        <is>
          <t>unknown</t>
        </is>
      </c>
      <c r="B14" s="2" t="inlineStr">
        <is>
          <t>unknown</t>
        </is>
      </c>
      <c r="C14" s="4" t="n">
        <v>7.51028</v>
      </c>
      <c r="D14" s="5" t="n">
        <v>119</v>
      </c>
      <c r="E14" s="5" t="n">
        <v>99</v>
      </c>
      <c r="F14" s="5" t="n">
        <v>1</v>
      </c>
      <c r="G14" s="5" t="n">
        <v>1</v>
      </c>
      <c r="H14" s="5" t="n">
        <v>1</v>
      </c>
      <c r="I14" s="5" t="n">
        <v>0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8">
        <f>IF(E14&gt;0,D14/E14,"")</f>
        <v/>
      </c>
      <c r="V14" s="6">
        <f>IF(D14&gt;0,G14/D14,"")</f>
        <v/>
      </c>
      <c r="W14" s="4">
        <f>IF(D14&gt;0,C14/D14*1000,"")</f>
        <v/>
      </c>
      <c r="X14" s="4">
        <f>IF(G14&gt;0,C14/G14,"")</f>
        <v/>
      </c>
      <c r="Y14" s="4">
        <f>IF(I14&gt;0,C14/I14,"")</f>
        <v/>
      </c>
      <c r="Z14" s="7">
        <f>IF(G14&gt;0,H14/G14,"")</f>
        <v/>
      </c>
      <c r="AA14" s="7">
        <f>IF(H14&gt;0,I14/H14,"")</f>
        <v/>
      </c>
      <c r="AB14" s="6">
        <f>IF(D14&gt;0,J14/D14,"")</f>
        <v/>
      </c>
      <c r="AC14" s="7">
        <f>IF(D14&gt;0,O14/D14,"")</f>
        <v/>
      </c>
      <c r="AD14" s="7">
        <f>IF(O14&gt;0,S14/O14,"")</f>
        <v/>
      </c>
    </row>
    <row r="15">
      <c r="A15" s="2" t="inlineStr">
        <is>
          <t>facebook</t>
        </is>
      </c>
      <c r="B15" s="2" t="inlineStr">
        <is>
          <t>facebook_profile_feed</t>
        </is>
      </c>
      <c r="C15" s="4" t="n">
        <v>4.170155</v>
      </c>
      <c r="D15" s="5" t="n">
        <v>56</v>
      </c>
      <c r="E15" s="5" t="n">
        <v>54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8">
        <f>IF(E15&gt;0,D15/E15,"")</f>
        <v/>
      </c>
      <c r="V15" s="6">
        <f>IF(D15&gt;0,G15/D15,"")</f>
        <v/>
      </c>
      <c r="W15" s="4">
        <f>IF(D15&gt;0,C15/D15*1000,"")</f>
        <v/>
      </c>
      <c r="X15" s="4">
        <f>IF(G15&gt;0,C15/G15,"")</f>
        <v/>
      </c>
      <c r="Y15" s="4">
        <f>IF(I15&gt;0,C15/I15,"")</f>
        <v/>
      </c>
      <c r="Z15" s="7">
        <f>IF(G15&gt;0,H15/G15,"")</f>
        <v/>
      </c>
      <c r="AA15" s="7">
        <f>IF(H15&gt;0,I15/H15,"")</f>
        <v/>
      </c>
      <c r="AB15" s="6">
        <f>IF(D15&gt;0,J15/D15,"")</f>
        <v/>
      </c>
      <c r="AC15" s="7">
        <f>IF(D15&gt;0,O15/D15,"")</f>
        <v/>
      </c>
      <c r="AD15" s="7">
        <f>IF(O15&gt;0,S15/O15,"")</f>
        <v/>
      </c>
    </row>
    <row r="16">
      <c r="A16" s="2" t="inlineStr">
        <is>
          <t>threads</t>
        </is>
      </c>
      <c r="B16" s="2" t="inlineStr">
        <is>
          <t>threads_feed</t>
        </is>
      </c>
      <c r="C16" s="4" t="n">
        <v>3.460129</v>
      </c>
      <c r="D16" s="5" t="n">
        <v>115</v>
      </c>
      <c r="E16" s="5" t="n">
        <v>104</v>
      </c>
      <c r="F16" s="5" t="n">
        <v>1</v>
      </c>
      <c r="G16" s="5" t="n">
        <v>1</v>
      </c>
      <c r="H16" s="5" t="n">
        <v>1</v>
      </c>
      <c r="I16" s="5" t="n">
        <v>0</v>
      </c>
      <c r="J16" s="5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8">
        <f>IF(E16&gt;0,D16/E16,"")</f>
        <v/>
      </c>
      <c r="V16" s="6">
        <f>IF(D16&gt;0,G16/D16,"")</f>
        <v/>
      </c>
      <c r="W16" s="4">
        <f>IF(D16&gt;0,C16/D16*1000,"")</f>
        <v/>
      </c>
      <c r="X16" s="4">
        <f>IF(G16&gt;0,C16/G16,"")</f>
        <v/>
      </c>
      <c r="Y16" s="4">
        <f>IF(I16&gt;0,C16/I16,"")</f>
        <v/>
      </c>
      <c r="Z16" s="7">
        <f>IF(G16&gt;0,H16/G16,"")</f>
        <v/>
      </c>
      <c r="AA16" s="7">
        <f>IF(H16&gt;0,I16/H16,"")</f>
        <v/>
      </c>
      <c r="AB16" s="6">
        <f>IF(D16&gt;0,J16/D16,"")</f>
        <v/>
      </c>
      <c r="AC16" s="7">
        <f>IF(D16&gt;0,O16/D16,"")</f>
        <v/>
      </c>
      <c r="AD16" s="7">
        <f>IF(O16&gt;0,S16/O16,"")</f>
        <v/>
      </c>
    </row>
    <row r="17">
      <c r="A17" s="2" t="inlineStr">
        <is>
          <t>facebook</t>
        </is>
      </c>
      <c r="B17" s="2" t="inlineStr">
        <is>
          <t>right_hand_column</t>
        </is>
      </c>
      <c r="C17" s="4" t="n">
        <v>1.570058</v>
      </c>
      <c r="D17" s="5" t="n">
        <v>478</v>
      </c>
      <c r="E17" s="5" t="n">
        <v>195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8">
        <f>IF(E17&gt;0,D17/E17,"")</f>
        <v/>
      </c>
      <c r="V17" s="6">
        <f>IF(D17&gt;0,G17/D17,"")</f>
        <v/>
      </c>
      <c r="W17" s="4">
        <f>IF(D17&gt;0,C17/D17*1000,"")</f>
        <v/>
      </c>
      <c r="X17" s="4">
        <f>IF(G17&gt;0,C17/G17,"")</f>
        <v/>
      </c>
      <c r="Y17" s="4">
        <f>IF(I17&gt;0,C17/I17,"")</f>
        <v/>
      </c>
      <c r="Z17" s="7">
        <f>IF(G17&gt;0,H17/G17,"")</f>
        <v/>
      </c>
      <c r="AA17" s="7">
        <f>IF(H17&gt;0,I17/H17,"")</f>
        <v/>
      </c>
      <c r="AB17" s="6">
        <f>IF(D17&gt;0,J17/D17,"")</f>
        <v/>
      </c>
      <c r="AC17" s="7">
        <f>IF(D17&gt;0,O17/D17,"")</f>
        <v/>
      </c>
      <c r="AD17" s="7">
        <f>IF(O17&gt;0,S17/O17,"")</f>
        <v/>
      </c>
    </row>
    <row r="18">
      <c r="A18" s="2" t="inlineStr">
        <is>
          <t>whatsapp</t>
        </is>
      </c>
      <c r="B18" s="2" t="inlineStr">
        <is>
          <t>status</t>
        </is>
      </c>
      <c r="C18" s="4" t="n">
        <v>1.060039</v>
      </c>
      <c r="D18" s="5" t="n">
        <v>195</v>
      </c>
      <c r="E18" s="5" t="n">
        <v>188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8">
        <f>IF(E18&gt;0,D18/E18,"")</f>
        <v/>
      </c>
      <c r="V18" s="6">
        <f>IF(D18&gt;0,G18/D18,"")</f>
        <v/>
      </c>
      <c r="W18" s="4">
        <f>IF(D18&gt;0,C18/D18*1000,"")</f>
        <v/>
      </c>
      <c r="X18" s="4">
        <f>IF(G18&gt;0,C18/G18,"")</f>
        <v/>
      </c>
      <c r="Y18" s="4">
        <f>IF(I18&gt;0,C18/I18,"")</f>
        <v/>
      </c>
      <c r="Z18" s="7">
        <f>IF(G18&gt;0,H18/G18,"")</f>
        <v/>
      </c>
      <c r="AA18" s="7">
        <f>IF(H18&gt;0,I18/H18,"")</f>
        <v/>
      </c>
      <c r="AB18" s="6">
        <f>IF(D18&gt;0,J18/D18,"")</f>
        <v/>
      </c>
      <c r="AC18" s="7">
        <f>IF(D18&gt;0,O18/D18,"")</f>
        <v/>
      </c>
      <c r="AD18" s="7">
        <f>IF(O18&gt;0,S18/O18,"")</f>
        <v/>
      </c>
    </row>
    <row r="19">
      <c r="A19" s="2" t="inlineStr">
        <is>
          <t>instagram</t>
        </is>
      </c>
      <c r="B19" s="2" t="inlineStr">
        <is>
          <t>instagram_explore_grid_home</t>
        </is>
      </c>
      <c r="C19" s="4" t="n">
        <v>0.150006</v>
      </c>
      <c r="D19" s="5" t="n">
        <v>31</v>
      </c>
      <c r="E19" s="5" t="n">
        <v>29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3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3</v>
      </c>
      <c r="P19" s="5" t="n">
        <v>1</v>
      </c>
      <c r="Q19" s="5" t="n">
        <v>1</v>
      </c>
      <c r="R19" s="5" t="n">
        <v>0</v>
      </c>
      <c r="S19" s="5" t="n">
        <v>0</v>
      </c>
      <c r="T19" s="5" t="n">
        <v>1</v>
      </c>
      <c r="U19" s="8">
        <f>IF(E19&gt;0,D19/E19,"")</f>
        <v/>
      </c>
      <c r="V19" s="6">
        <f>IF(D19&gt;0,G19/D19,"")</f>
        <v/>
      </c>
      <c r="W19" s="4">
        <f>IF(D19&gt;0,C19/D19*1000,"")</f>
        <v/>
      </c>
      <c r="X19" s="4">
        <f>IF(G19&gt;0,C19/G19,"")</f>
        <v/>
      </c>
      <c r="Y19" s="4">
        <f>IF(I19&gt;0,C19/I19,"")</f>
        <v/>
      </c>
      <c r="Z19" s="7">
        <f>IF(G19&gt;0,H19/G19,"")</f>
        <v/>
      </c>
      <c r="AA19" s="7">
        <f>IF(H19&gt;0,I19/H19,"")</f>
        <v/>
      </c>
      <c r="AB19" s="6">
        <f>IF(D19&gt;0,J19/D19,"")</f>
        <v/>
      </c>
      <c r="AC19" s="7">
        <f>IF(D19&gt;0,O19/D19,"")</f>
        <v/>
      </c>
      <c r="AD19" s="7">
        <f>IF(O19&gt;0,S19/O19,"")</f>
        <v/>
      </c>
    </row>
    <row r="20">
      <c r="A20" s="2" t="inlineStr">
        <is>
          <t>instagram</t>
        </is>
      </c>
      <c r="B20" s="2" t="inlineStr">
        <is>
          <t>instagram_search</t>
        </is>
      </c>
      <c r="C20" s="4" t="n">
        <v>0.020001</v>
      </c>
      <c r="D20" s="5" t="n">
        <v>4</v>
      </c>
      <c r="E20" s="5" t="n">
        <v>4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1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8">
        <f>IF(E20&gt;0,D20/E20,"")</f>
        <v/>
      </c>
      <c r="V20" s="6">
        <f>IF(D20&gt;0,G20/D20,"")</f>
        <v/>
      </c>
      <c r="W20" s="4">
        <f>IF(D20&gt;0,C20/D20*1000,"")</f>
        <v/>
      </c>
      <c r="X20" s="4">
        <f>IF(G20&gt;0,C20/G20,"")</f>
        <v/>
      </c>
      <c r="Y20" s="4">
        <f>IF(I20&gt;0,C20/I20,"")</f>
        <v/>
      </c>
      <c r="Z20" s="7">
        <f>IF(G20&gt;0,H20/G20,"")</f>
        <v/>
      </c>
      <c r="AA20" s="7">
        <f>IF(H20&gt;0,I20/H20,"")</f>
        <v/>
      </c>
      <c r="AB20" s="6">
        <f>IF(D20&gt;0,J20/D20,"")</f>
        <v/>
      </c>
      <c r="AC20" s="7">
        <f>IF(D20&gt;0,O20/D20,"")</f>
        <v/>
      </c>
      <c r="AD20" s="7">
        <f>IF(O20&gt;0,S20/O20,"")</f>
        <v/>
      </c>
    </row>
    <row r="21">
      <c r="A21" s="2" t="inlineStr">
        <is>
          <t>facebook</t>
        </is>
      </c>
      <c r="B21" s="2" t="inlineStr">
        <is>
          <t>biz_disco_feed</t>
        </is>
      </c>
      <c r="C21" s="4" t="n">
        <v>0</v>
      </c>
      <c r="D21" s="5" t="n">
        <v>1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8">
        <f>IF(E21&gt;0,D21/E21,"")</f>
        <v/>
      </c>
      <c r="V21" s="6">
        <f>IF(D21&gt;0,G21/D21,"")</f>
        <v/>
      </c>
      <c r="W21" s="4">
        <f>IF(D21&gt;0,C21/D21*1000,"")</f>
        <v/>
      </c>
      <c r="X21" s="4">
        <f>IF(G21&gt;0,C21/G21,"")</f>
        <v/>
      </c>
      <c r="Y21" s="4">
        <f>IF(I21&gt;0,C21/I21,"")</f>
        <v/>
      </c>
      <c r="Z21" s="7">
        <f>IF(G21&gt;0,H21/G21,"")</f>
        <v/>
      </c>
      <c r="AA21" s="7">
        <f>IF(H21&gt;0,I21/H21,"")</f>
        <v/>
      </c>
      <c r="AB21" s="6">
        <f>IF(D21&gt;0,J21/D21,"")</f>
        <v/>
      </c>
      <c r="AC21" s="7">
        <f>IF(D21&gt;0,O21/D21,"")</f>
        <v/>
      </c>
      <c r="AD21" s="7">
        <f>IF(O21&gt;0,S21/O21,"")</f>
        <v/>
      </c>
    </row>
    <row r="22">
      <c r="A22" s="11" t="inlineStr">
        <is>
          <t>Total</t>
        </is>
      </c>
      <c r="B22" s="11" t="n"/>
      <c r="C22" s="12">
        <f>SUM(C2:C21)</f>
        <v/>
      </c>
      <c r="D22" s="13">
        <f>SUM(D2:D21)</f>
        <v/>
      </c>
      <c r="E22" s="13" t="n"/>
      <c r="F22" s="13">
        <f>SUM(F2:F21)</f>
        <v/>
      </c>
      <c r="G22" s="13">
        <f>SUM(G2:G21)</f>
        <v/>
      </c>
      <c r="H22" s="13">
        <f>SUM(H2:H21)</f>
        <v/>
      </c>
      <c r="I22" s="13">
        <f>SUM(I2:I21)</f>
        <v/>
      </c>
      <c r="J22" s="13">
        <f>SUM(J2:J21)</f>
        <v/>
      </c>
      <c r="K22" s="13">
        <f>SUM(K2:K21)</f>
        <v/>
      </c>
      <c r="L22" s="13">
        <f>SUM(L2:L21)</f>
        <v/>
      </c>
      <c r="M22" s="13">
        <f>SUM(M2:M21)</f>
        <v/>
      </c>
      <c r="N22" s="13">
        <f>SUM(N2:N21)</f>
        <v/>
      </c>
      <c r="O22" s="13">
        <f>SUM(O2:O21)</f>
        <v/>
      </c>
      <c r="P22" s="13">
        <f>SUM(P2:P21)</f>
        <v/>
      </c>
      <c r="Q22" s="13">
        <f>SUM(Q2:Q21)</f>
        <v/>
      </c>
      <c r="R22" s="13">
        <f>SUM(R2:R21)</f>
        <v/>
      </c>
      <c r="S22" s="13">
        <f>SUM(S2:S21)</f>
        <v/>
      </c>
      <c r="T22" s="13">
        <f>SUM(T2:T21)</f>
        <v/>
      </c>
      <c r="U22" s="14">
        <f>IF(E22&gt;0,D22/E22,"")</f>
        <v/>
      </c>
      <c r="V22" s="15">
        <f>IF(D22&gt;0,G22/D22,"")</f>
        <v/>
      </c>
      <c r="W22" s="12">
        <f>IF(D22&gt;0,C22/D22*1000,"")</f>
        <v/>
      </c>
      <c r="X22" s="12">
        <f>IF(G22&gt;0,C22/G22,"")</f>
        <v/>
      </c>
      <c r="Y22" s="12">
        <f>IF(I22&gt;0,C22/I22,"")</f>
        <v/>
      </c>
      <c r="Z22" s="16">
        <f>IF(G22&gt;0,H22/G22,"")</f>
        <v/>
      </c>
      <c r="AA22" s="16">
        <f>IF(H22&gt;0,I22/H22,"")</f>
        <v/>
      </c>
      <c r="AB22" s="15">
        <f>IF(D22&gt;0,J22/D22,"")</f>
        <v/>
      </c>
      <c r="AC22" s="16">
        <f>IF(D22&gt;0,O22/D22,"")</f>
        <v/>
      </c>
      <c r="AD22" s="16">
        <f>IF(O22&gt;0,S22/O22,"")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Dispositivo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iphone</t>
        </is>
      </c>
      <c r="B2" s="4" t="n">
        <v>1950.032617</v>
      </c>
      <c r="C2" s="5" t="n">
        <v>56866</v>
      </c>
      <c r="D2" s="5" t="n">
        <v>24038</v>
      </c>
      <c r="E2" s="5" t="n">
        <v>1206</v>
      </c>
      <c r="F2" s="5" t="n">
        <v>673</v>
      </c>
      <c r="G2" s="5" t="n">
        <v>142</v>
      </c>
      <c r="H2" s="5" t="n">
        <v>146</v>
      </c>
      <c r="I2" s="5" t="n">
        <v>2754</v>
      </c>
      <c r="J2" s="5" t="n">
        <v>54</v>
      </c>
      <c r="K2" s="5" t="n">
        <v>5</v>
      </c>
      <c r="L2" s="5" t="n">
        <v>8</v>
      </c>
      <c r="M2" s="5" t="n">
        <v>14</v>
      </c>
      <c r="N2" s="5" t="n">
        <v>2000</v>
      </c>
      <c r="O2" s="5" t="n">
        <v>1287</v>
      </c>
      <c r="P2" s="5" t="n">
        <v>844</v>
      </c>
      <c r="Q2" s="5" t="n">
        <v>469</v>
      </c>
      <c r="R2" s="5" t="n">
        <v>291</v>
      </c>
      <c r="S2" s="5" t="n">
        <v>447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android_smartphone</t>
        </is>
      </c>
      <c r="B3" s="4" t="n">
        <v>1060.699499</v>
      </c>
      <c r="C3" s="5" t="n">
        <v>29766</v>
      </c>
      <c r="D3" s="5" t="n">
        <v>14184</v>
      </c>
      <c r="E3" s="5" t="n">
        <v>915</v>
      </c>
      <c r="F3" s="5" t="n">
        <v>532</v>
      </c>
      <c r="G3" s="5" t="n">
        <v>115</v>
      </c>
      <c r="H3" s="5" t="n">
        <v>133</v>
      </c>
      <c r="I3" s="5" t="n">
        <v>1251</v>
      </c>
      <c r="J3" s="5" t="n">
        <v>36</v>
      </c>
      <c r="K3" s="5" t="n">
        <v>3</v>
      </c>
      <c r="L3" s="5" t="n">
        <v>8</v>
      </c>
      <c r="M3" s="5" t="n">
        <v>6</v>
      </c>
      <c r="N3" s="5" t="n">
        <v>666</v>
      </c>
      <c r="O3" s="5" t="n">
        <v>454</v>
      </c>
      <c r="P3" s="5" t="n">
        <v>273</v>
      </c>
      <c r="Q3" s="5" t="n">
        <v>164</v>
      </c>
      <c r="R3" s="5" t="n">
        <v>107</v>
      </c>
      <c r="S3" s="5" t="n">
        <v>179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desktop</t>
        </is>
      </c>
      <c r="B4" s="4" t="n">
        <v>119.554452</v>
      </c>
      <c r="C4" s="5" t="n">
        <v>2432</v>
      </c>
      <c r="D4" s="5" t="n">
        <v>1205</v>
      </c>
      <c r="E4" s="5" t="n">
        <v>51</v>
      </c>
      <c r="F4" s="5" t="n">
        <v>16</v>
      </c>
      <c r="G4" s="5" t="n">
        <v>3</v>
      </c>
      <c r="H4" s="5" t="n">
        <v>8</v>
      </c>
      <c r="I4" s="5" t="n">
        <v>37</v>
      </c>
      <c r="J4" s="5" t="n">
        <v>5</v>
      </c>
      <c r="K4" s="5" t="n">
        <v>0</v>
      </c>
      <c r="L4" s="5" t="n">
        <v>0</v>
      </c>
      <c r="M4" s="5" t="n">
        <v>0</v>
      </c>
      <c r="N4" s="5" t="n">
        <v>16</v>
      </c>
      <c r="O4" s="5" t="n">
        <v>16</v>
      </c>
      <c r="P4" s="5" t="n">
        <v>9</v>
      </c>
      <c r="Q4" s="5" t="n">
        <v>6</v>
      </c>
      <c r="R4" s="5" t="n">
        <v>2</v>
      </c>
      <c r="S4" s="5" t="n">
        <v>4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2" t="inlineStr">
        <is>
          <t>ipad</t>
        </is>
      </c>
      <c r="B5" s="4" t="n">
        <v>65.12242500000001</v>
      </c>
      <c r="C5" s="5" t="n">
        <v>1372</v>
      </c>
      <c r="D5" s="5" t="n">
        <v>642</v>
      </c>
      <c r="E5" s="5" t="n">
        <v>21</v>
      </c>
      <c r="F5" s="5" t="n">
        <v>14</v>
      </c>
      <c r="G5" s="5" t="n">
        <v>10</v>
      </c>
      <c r="H5" s="5" t="n">
        <v>2</v>
      </c>
      <c r="I5" s="5" t="n">
        <v>32</v>
      </c>
      <c r="J5" s="5" t="n">
        <v>3</v>
      </c>
      <c r="K5" s="5" t="n">
        <v>0</v>
      </c>
      <c r="L5" s="5" t="n">
        <v>0</v>
      </c>
      <c r="M5" s="5" t="n">
        <v>0</v>
      </c>
      <c r="N5" s="5" t="n">
        <v>15</v>
      </c>
      <c r="O5" s="5" t="n">
        <v>14</v>
      </c>
      <c r="P5" s="5" t="n">
        <v>7</v>
      </c>
      <c r="Q5" s="5" t="n">
        <v>4</v>
      </c>
      <c r="R5" s="5" t="n">
        <v>4</v>
      </c>
      <c r="S5" s="5" t="n">
        <v>5</v>
      </c>
      <c r="T5" s="8">
        <f>IF(D5&gt;0,C5/D5,"")</f>
        <v/>
      </c>
      <c r="U5" s="6">
        <f>IF(C5&gt;0,F5/C5,"")</f>
        <v/>
      </c>
      <c r="V5" s="4">
        <f>IF(C5&gt;0,B5/C5*1000,"")</f>
        <v/>
      </c>
      <c r="W5" s="4">
        <f>IF(F5&gt;0,B5/F5,"")</f>
        <v/>
      </c>
      <c r="X5" s="4">
        <f>IF(H5&gt;0,B5/H5,"")</f>
        <v/>
      </c>
      <c r="Y5" s="7">
        <f>IF(F5&gt;0,G5/F5,"")</f>
        <v/>
      </c>
      <c r="Z5" s="7">
        <f>IF(G5&gt;0,H5/G5,"")</f>
        <v/>
      </c>
      <c r="AA5" s="6">
        <f>IF(C5&gt;0,I5/C5,"")</f>
        <v/>
      </c>
      <c r="AB5" s="7">
        <f>IF(C5&gt;0,N5/C5,"")</f>
        <v/>
      </c>
      <c r="AC5" s="7">
        <f>IF(N5&gt;0,R5/N5,"")</f>
        <v/>
      </c>
    </row>
    <row r="6">
      <c r="A6" s="2" t="inlineStr">
        <is>
          <t>android_tablet</t>
        </is>
      </c>
      <c r="B6" s="4" t="n">
        <v>15.440575</v>
      </c>
      <c r="C6" s="5" t="n">
        <v>450</v>
      </c>
      <c r="D6" s="5" t="n">
        <v>244</v>
      </c>
      <c r="E6" s="5" t="n">
        <v>20</v>
      </c>
      <c r="F6" s="5" t="n">
        <v>16</v>
      </c>
      <c r="G6" s="5" t="n">
        <v>6</v>
      </c>
      <c r="H6" s="5" t="n">
        <v>1</v>
      </c>
      <c r="I6" s="5" t="n">
        <v>29</v>
      </c>
      <c r="J6" s="5" t="n">
        <v>2</v>
      </c>
      <c r="K6" s="5" t="n">
        <v>0</v>
      </c>
      <c r="L6" s="5" t="n">
        <v>0</v>
      </c>
      <c r="M6" s="5" t="n">
        <v>0</v>
      </c>
      <c r="N6" s="5" t="n">
        <v>11</v>
      </c>
      <c r="O6" s="5" t="n">
        <v>8</v>
      </c>
      <c r="P6" s="5" t="n">
        <v>6</v>
      </c>
      <c r="Q6" s="5" t="n">
        <v>5</v>
      </c>
      <c r="R6" s="5" t="n">
        <v>3</v>
      </c>
      <c r="S6" s="5" t="n">
        <v>5</v>
      </c>
      <c r="T6" s="8">
        <f>IF(D6&gt;0,C6/D6,"")</f>
        <v/>
      </c>
      <c r="U6" s="6">
        <f>IF(C6&gt;0,F6/C6,"")</f>
        <v/>
      </c>
      <c r="V6" s="4">
        <f>IF(C6&gt;0,B6/C6*1000,"")</f>
        <v/>
      </c>
      <c r="W6" s="4">
        <f>IF(F6&gt;0,B6/F6,"")</f>
        <v/>
      </c>
      <c r="X6" s="4">
        <f>IF(H6&gt;0,B6/H6,"")</f>
        <v/>
      </c>
      <c r="Y6" s="7">
        <f>IF(F6&gt;0,G6/F6,"")</f>
        <v/>
      </c>
      <c r="Z6" s="7">
        <f>IF(G6&gt;0,H6/G6,"")</f>
        <v/>
      </c>
      <c r="AA6" s="6">
        <f>IF(C6&gt;0,I6/C6,"")</f>
        <v/>
      </c>
      <c r="AB6" s="7">
        <f>IF(C6&gt;0,N6/C6,"")</f>
        <v/>
      </c>
      <c r="AC6" s="7">
        <f>IF(N6&gt;0,R6/N6,"")</f>
        <v/>
      </c>
    </row>
    <row r="7">
      <c r="A7" s="2" t="inlineStr">
        <is>
          <t>other</t>
        </is>
      </c>
      <c r="B7" s="4" t="n">
        <v>11.600432</v>
      </c>
      <c r="C7" s="5" t="n">
        <v>224</v>
      </c>
      <c r="D7" s="5" t="n">
        <v>141</v>
      </c>
      <c r="E7" s="5" t="n">
        <v>5</v>
      </c>
      <c r="F7" s="5" t="n">
        <v>6</v>
      </c>
      <c r="G7" s="5" t="n">
        <v>1</v>
      </c>
      <c r="H7" s="5" t="n">
        <v>0</v>
      </c>
      <c r="I7" s="5" t="n">
        <v>9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2</v>
      </c>
      <c r="O7" s="5" t="n">
        <v>3</v>
      </c>
      <c r="P7" s="5" t="n">
        <v>3</v>
      </c>
      <c r="Q7" s="5" t="n">
        <v>2</v>
      </c>
      <c r="R7" s="5" t="n">
        <v>2</v>
      </c>
      <c r="S7" s="5" t="n">
        <v>2</v>
      </c>
      <c r="T7" s="8">
        <f>IF(D7&gt;0,C7/D7,"")</f>
        <v/>
      </c>
      <c r="U7" s="6">
        <f>IF(C7&gt;0,F7/C7,"")</f>
        <v/>
      </c>
      <c r="V7" s="4">
        <f>IF(C7&gt;0,B7/C7*1000,"")</f>
        <v/>
      </c>
      <c r="W7" s="4">
        <f>IF(F7&gt;0,B7/F7,"")</f>
        <v/>
      </c>
      <c r="X7" s="4">
        <f>IF(H7&gt;0,B7/H7,"")</f>
        <v/>
      </c>
      <c r="Y7" s="7">
        <f>IF(F7&gt;0,G7/F7,"")</f>
        <v/>
      </c>
      <c r="Z7" s="7">
        <f>IF(G7&gt;0,H7/G7,"")</f>
        <v/>
      </c>
      <c r="AA7" s="6">
        <f>IF(C7&gt;0,I7/C7,"")</f>
        <v/>
      </c>
      <c r="AB7" s="7">
        <f>IF(C7&gt;0,N7/C7,"")</f>
        <v/>
      </c>
      <c r="AC7" s="7">
        <f>IF(N7&gt;0,R7/N7,"")</f>
        <v/>
      </c>
    </row>
    <row r="8">
      <c r="A8" s="11" t="inlineStr">
        <is>
          <t>Total</t>
        </is>
      </c>
      <c r="B8" s="12">
        <f>SUM(B2:B7)</f>
        <v/>
      </c>
      <c r="C8" s="13">
        <f>SUM(C2:C7)</f>
        <v/>
      </c>
      <c r="D8" s="13" t="n"/>
      <c r="E8" s="13">
        <f>SUM(E2:E7)</f>
        <v/>
      </c>
      <c r="F8" s="13">
        <f>SUM(F2:F7)</f>
        <v/>
      </c>
      <c r="G8" s="13">
        <f>SUM(G2:G7)</f>
        <v/>
      </c>
      <c r="H8" s="13">
        <f>SUM(H2:H7)</f>
        <v/>
      </c>
      <c r="I8" s="13">
        <f>SUM(I2:I7)</f>
        <v/>
      </c>
      <c r="J8" s="13">
        <f>SUM(J2:J7)</f>
        <v/>
      </c>
      <c r="K8" s="13">
        <f>SUM(K2:K7)</f>
        <v/>
      </c>
      <c r="L8" s="13">
        <f>SUM(L2:L7)</f>
        <v/>
      </c>
      <c r="M8" s="13">
        <f>SUM(M2:M7)</f>
        <v/>
      </c>
      <c r="N8" s="13">
        <f>SUM(N2:N7)</f>
        <v/>
      </c>
      <c r="O8" s="13">
        <f>SUM(O2:O7)</f>
        <v/>
      </c>
      <c r="P8" s="13">
        <f>SUM(P2:P7)</f>
        <v/>
      </c>
      <c r="Q8" s="13">
        <f>SUM(Q2:Q7)</f>
        <v/>
      </c>
      <c r="R8" s="13">
        <f>SUM(R2:R7)</f>
        <v/>
      </c>
      <c r="S8" s="13">
        <f>SUM(S2:S7)</f>
        <v/>
      </c>
      <c r="T8" s="14">
        <f>IF(D8&gt;0,C8/D8,"")</f>
        <v/>
      </c>
      <c r="U8" s="15">
        <f>IF(C8&gt;0,F8/C8,"")</f>
        <v/>
      </c>
      <c r="V8" s="12">
        <f>IF(C8&gt;0,B8/C8*1000,"")</f>
        <v/>
      </c>
      <c r="W8" s="12">
        <f>IF(F8&gt;0,B8/F8,"")</f>
        <v/>
      </c>
      <c r="X8" s="12">
        <f>IF(H8&gt;0,B8/H8,"")</f>
        <v/>
      </c>
      <c r="Y8" s="16">
        <f>IF(F8&gt;0,G8/F8,"")</f>
        <v/>
      </c>
      <c r="Z8" s="16">
        <f>IF(G8&gt;0,H8/G8,"")</f>
        <v/>
      </c>
      <c r="AA8" s="15">
        <f>IF(C8&gt;0,I8/C8,"")</f>
        <v/>
      </c>
      <c r="AB8" s="16">
        <f>IF(C8&gt;0,N8/C8,"")</f>
        <v/>
      </c>
      <c r="AC8" s="16">
        <f>IF(N8&gt;0,R8/N8,"")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Hora (zona de la cuenta)</t>
        </is>
      </c>
      <c r="B1" s="10" t="inlineStr">
        <is>
          <t>Gasto (USD)</t>
        </is>
      </c>
      <c r="C1" s="10" t="inlineStr">
        <is>
          <t>Impresiones</t>
        </is>
      </c>
      <c r="D1" s="10" t="inlineStr">
        <is>
          <t>Alcance</t>
        </is>
      </c>
      <c r="E1" s="10" t="inlineStr">
        <is>
          <t>Clics (todos)</t>
        </is>
      </c>
      <c r="F1" s="10" t="inlineStr">
        <is>
          <t>Clics en enlace</t>
        </is>
      </c>
      <c r="G1" s="10" t="inlineStr">
        <is>
          <t>Landing page views</t>
        </is>
      </c>
      <c r="H1" s="10" t="inlineStr">
        <is>
          <t>Leads (Meta)</t>
        </is>
      </c>
      <c r="I1" s="10" t="inlineStr">
        <is>
          <t>Interacciones</t>
        </is>
      </c>
      <c r="J1" s="10" t="inlineStr">
        <is>
          <t>Reacciones</t>
        </is>
      </c>
      <c r="K1" s="10" t="inlineStr">
        <is>
          <t>Comentarios</t>
        </is>
      </c>
      <c r="L1" s="10" t="inlineStr">
        <is>
          <t>Compartidos</t>
        </is>
      </c>
      <c r="M1" s="10" t="inlineStr">
        <is>
          <t>Guardados</t>
        </is>
      </c>
      <c r="N1" s="10" t="inlineStr">
        <is>
          <t>Reproducciones 3 s</t>
        </is>
      </c>
      <c r="O1" s="10" t="inlineStr">
        <is>
          <t>Video 25%</t>
        </is>
      </c>
      <c r="P1" s="10" t="inlineStr">
        <is>
          <t>Video 50%</t>
        </is>
      </c>
      <c r="Q1" s="10" t="inlineStr">
        <is>
          <t>Video 75%</t>
        </is>
      </c>
      <c r="R1" s="10" t="inlineStr">
        <is>
          <t>Video 100%</t>
        </is>
      </c>
      <c r="S1" s="10" t="inlineStr">
        <is>
          <t>ThruPlay</t>
        </is>
      </c>
      <c r="T1" s="10" t="inlineStr">
        <is>
          <t>Frecuencia</t>
        </is>
      </c>
      <c r="U1" s="10" t="inlineStr">
        <is>
          <t>CTR enlace</t>
        </is>
      </c>
      <c r="V1" s="10" t="inlineStr">
        <is>
          <t>CPM (USD)</t>
        </is>
      </c>
      <c r="W1" s="10" t="inlineStr">
        <is>
          <t>CPC enlace (USD)</t>
        </is>
      </c>
      <c r="X1" s="10" t="inlineStr">
        <is>
          <t>CPL Meta (USD)</t>
        </is>
      </c>
      <c r="Y1" s="10" t="inlineStr">
        <is>
          <t>Clic → LPV</t>
        </is>
      </c>
      <c r="Z1" s="10" t="inlineStr">
        <is>
          <t>LPV → lead</t>
        </is>
      </c>
      <c r="AA1" s="10" t="inlineStr">
        <is>
          <t>Tasa de interacción</t>
        </is>
      </c>
      <c r="AB1" s="10" t="inlineStr">
        <is>
          <t>Hook rate (3 s / imp.)</t>
        </is>
      </c>
      <c r="AC1" s="10" t="inlineStr">
        <is>
          <t>Retención 100% / 3 s</t>
        </is>
      </c>
    </row>
    <row r="2">
      <c r="A2" s="2" t="inlineStr">
        <is>
          <t>00:00</t>
        </is>
      </c>
      <c r="B2" s="4" t="n">
        <v>119.264441</v>
      </c>
      <c r="C2" s="5" t="n">
        <v>3558</v>
      </c>
      <c r="D2" s="5" t="n"/>
      <c r="E2" s="5" t="n">
        <v>126</v>
      </c>
      <c r="F2" s="5" t="n">
        <v>82</v>
      </c>
      <c r="G2" s="5" t="n">
        <v>25</v>
      </c>
      <c r="H2" s="5" t="n">
        <v>19</v>
      </c>
      <c r="I2" s="5" t="n">
        <v>142</v>
      </c>
      <c r="J2" s="5" t="n">
        <v>2</v>
      </c>
      <c r="K2" s="5" t="n">
        <v>0</v>
      </c>
      <c r="L2" s="5" t="n">
        <v>1</v>
      </c>
      <c r="M2" s="5" t="n">
        <v>0</v>
      </c>
      <c r="N2" s="5" t="n">
        <v>57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>
        <f>IF(D2&gt;0,C2/D2,"")</f>
        <v/>
      </c>
      <c r="U2" s="6">
        <f>IF(C2&gt;0,F2/C2,"")</f>
        <v/>
      </c>
      <c r="V2" s="4">
        <f>IF(C2&gt;0,B2/C2*1000,"")</f>
        <v/>
      </c>
      <c r="W2" s="4">
        <f>IF(F2&gt;0,B2/F2,"")</f>
        <v/>
      </c>
      <c r="X2" s="4">
        <f>IF(H2&gt;0,B2/H2,"")</f>
        <v/>
      </c>
      <c r="Y2" s="7">
        <f>IF(F2&gt;0,G2/F2,"")</f>
        <v/>
      </c>
      <c r="Z2" s="7">
        <f>IF(G2&gt;0,H2/G2,"")</f>
        <v/>
      </c>
      <c r="AA2" s="6">
        <f>IF(C2&gt;0,I2/C2,"")</f>
        <v/>
      </c>
      <c r="AB2" s="7">
        <f>IF(C2&gt;0,N2/C2,"")</f>
        <v/>
      </c>
      <c r="AC2" s="7">
        <f>IF(N2&gt;0,R2/N2,"")</f>
        <v/>
      </c>
    </row>
    <row r="3">
      <c r="A3" s="2" t="inlineStr">
        <is>
          <t>01:00</t>
        </is>
      </c>
      <c r="B3" s="4" t="n">
        <v>54.592033</v>
      </c>
      <c r="C3" s="5" t="n">
        <v>1430</v>
      </c>
      <c r="D3" s="5" t="n"/>
      <c r="E3" s="5" t="n">
        <v>48</v>
      </c>
      <c r="F3" s="5" t="n">
        <v>26</v>
      </c>
      <c r="G3" s="5" t="n">
        <v>4</v>
      </c>
      <c r="H3" s="5" t="n">
        <v>5</v>
      </c>
      <c r="I3" s="5" t="n">
        <v>73</v>
      </c>
      <c r="J3" s="5" t="n">
        <v>3</v>
      </c>
      <c r="K3" s="5" t="n">
        <v>0</v>
      </c>
      <c r="L3" s="5" t="n">
        <v>0</v>
      </c>
      <c r="M3" s="5" t="n">
        <v>0</v>
      </c>
      <c r="N3" s="5" t="n">
        <v>44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>
        <f>IF(D3&gt;0,C3/D3,"")</f>
        <v/>
      </c>
      <c r="U3" s="6">
        <f>IF(C3&gt;0,F3/C3,"")</f>
        <v/>
      </c>
      <c r="V3" s="4">
        <f>IF(C3&gt;0,B3/C3*1000,"")</f>
        <v/>
      </c>
      <c r="W3" s="4">
        <f>IF(F3&gt;0,B3/F3,"")</f>
        <v/>
      </c>
      <c r="X3" s="4">
        <f>IF(H3&gt;0,B3/H3,"")</f>
        <v/>
      </c>
      <c r="Y3" s="7">
        <f>IF(F3&gt;0,G3/F3,"")</f>
        <v/>
      </c>
      <c r="Z3" s="7">
        <f>IF(G3&gt;0,H3/G3,"")</f>
        <v/>
      </c>
      <c r="AA3" s="6">
        <f>IF(C3&gt;0,I3/C3,"")</f>
        <v/>
      </c>
      <c r="AB3" s="7">
        <f>IF(C3&gt;0,N3/C3,"")</f>
        <v/>
      </c>
      <c r="AC3" s="7">
        <f>IF(N3&gt;0,R3/N3,"")</f>
        <v/>
      </c>
    </row>
    <row r="4">
      <c r="A4" s="2" t="inlineStr">
        <is>
          <t>02:00</t>
        </is>
      </c>
      <c r="B4" s="4" t="n">
        <v>42.44158</v>
      </c>
      <c r="C4" s="5" t="n">
        <v>1009</v>
      </c>
      <c r="D4" s="5" t="n"/>
      <c r="E4" s="5" t="n">
        <v>42</v>
      </c>
      <c r="F4" s="5" t="n">
        <v>23</v>
      </c>
      <c r="G4" s="5" t="n">
        <v>2</v>
      </c>
      <c r="H4" s="5" t="n">
        <v>8</v>
      </c>
      <c r="I4" s="5" t="n">
        <v>56</v>
      </c>
      <c r="J4" s="5" t="n">
        <v>1</v>
      </c>
      <c r="K4" s="5" t="n">
        <v>0</v>
      </c>
      <c r="L4" s="5" t="n">
        <v>1</v>
      </c>
      <c r="M4" s="5" t="n">
        <v>0</v>
      </c>
      <c r="N4" s="5" t="n">
        <v>31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>
        <f>IF(D4&gt;0,C4/D4,"")</f>
        <v/>
      </c>
      <c r="U4" s="6">
        <f>IF(C4&gt;0,F4/C4,"")</f>
        <v/>
      </c>
      <c r="V4" s="4">
        <f>IF(C4&gt;0,B4/C4*1000,"")</f>
        <v/>
      </c>
      <c r="W4" s="4">
        <f>IF(F4&gt;0,B4/F4,"")</f>
        <v/>
      </c>
      <c r="X4" s="4">
        <f>IF(H4&gt;0,B4/H4,"")</f>
        <v/>
      </c>
      <c r="Y4" s="7">
        <f>IF(F4&gt;0,G4/F4,"")</f>
        <v/>
      </c>
      <c r="Z4" s="7">
        <f>IF(G4&gt;0,H4/G4,"")</f>
        <v/>
      </c>
      <c r="AA4" s="6">
        <f>IF(C4&gt;0,I4/C4,"")</f>
        <v/>
      </c>
      <c r="AB4" s="7">
        <f>IF(C4&gt;0,N4/C4,"")</f>
        <v/>
      </c>
      <c r="AC4" s="7">
        <f>IF(N4&gt;0,R4/N4,"")</f>
        <v/>
      </c>
    </row>
    <row r="5">
      <c r="A5" s="2" t="inlineStr">
        <is>
          <t>03:00</t>
        </is>
      </c>
      <c r="B5" s="4" t="n">
        <v>34.201274</v>
      </c>
      <c r="C5" s="5" t="n">
        <v>866</v>
      </c>
      <c r="D5" s="5" t="n"/>
      <c r="E5" s="5" t="n">
        <v>24</v>
      </c>
      <c r="F5" s="5" t="n">
        <v>14</v>
      </c>
      <c r="G5" s="5" t="n">
        <v>5</v>
      </c>
      <c r="H5" s="5" t="n">
        <v>3</v>
      </c>
      <c r="I5" s="5" t="n">
        <v>45</v>
      </c>
      <c r="J5" s="5" t="n">
        <v>3</v>
      </c>
      <c r="K5" s="5" t="n">
        <v>0</v>
      </c>
      <c r="L5" s="5" t="n">
        <v>1</v>
      </c>
      <c r="M5" s="5" t="n">
        <v>0</v>
      </c>
      <c r="N5" s="5" t="n">
        <v>27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>
        <f>IF(D5&gt;0,C5/D5,"")</f>
        <v/>
      </c>
      <c r="U5" s="6">
        <f>IF(C5&gt;0,F5/C5,"")</f>
        <v/>
      </c>
      <c r="V5" s="4">
        <f>IF(C5&gt;0,B5/C5*1000,"")</f>
        <v/>
      </c>
      <c r="W5" s="4">
        <f>IF(F5&gt;0,B5/F5,"")</f>
        <v/>
      </c>
      <c r="X5" s="4">
        <f>IF(H5&gt;0,B5/H5,"")</f>
        <v/>
      </c>
      <c r="Y5" s="7">
        <f>IF(F5&gt;0,G5/F5,"")</f>
        <v/>
      </c>
      <c r="Z5" s="7">
        <f>IF(G5&gt;0,H5/G5,"")</f>
        <v/>
      </c>
      <c r="AA5" s="6">
        <f>IF(C5&gt;0,I5/C5,"")</f>
        <v/>
      </c>
      <c r="AB5" s="7">
        <f>IF(C5&gt;0,N5/C5,"")</f>
        <v/>
      </c>
      <c r="AC5" s="7">
        <f>IF(N5&gt;0,R5/N5,"")</f>
        <v/>
      </c>
    </row>
    <row r="6">
      <c r="A6" s="2" t="inlineStr">
        <is>
          <t>04:00</t>
        </is>
      </c>
      <c r="B6" s="4" t="n">
        <v>42.821595</v>
      </c>
      <c r="C6" s="5" t="n">
        <v>991</v>
      </c>
      <c r="D6" s="5" t="n"/>
      <c r="E6" s="5" t="n">
        <v>28</v>
      </c>
      <c r="F6" s="5" t="n">
        <v>14</v>
      </c>
      <c r="G6" s="5" t="n">
        <v>3</v>
      </c>
      <c r="H6" s="5" t="n">
        <v>2</v>
      </c>
      <c r="I6" s="5" t="n">
        <v>50</v>
      </c>
      <c r="J6" s="5" t="n">
        <v>1</v>
      </c>
      <c r="K6" s="5" t="n">
        <v>1</v>
      </c>
      <c r="L6" s="5" t="n">
        <v>0</v>
      </c>
      <c r="M6" s="5" t="n">
        <v>0</v>
      </c>
      <c r="N6" s="5" t="n">
        <v>34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>
        <f>IF(D6&gt;0,C6/D6,"")</f>
        <v/>
      </c>
      <c r="U6" s="6">
        <f>IF(C6&gt;0,F6/C6,"")</f>
        <v/>
      </c>
      <c r="V6" s="4">
        <f>IF(C6&gt;0,B6/C6*1000,"")</f>
        <v/>
      </c>
      <c r="W6" s="4">
        <f>IF(F6&gt;0,B6/F6,"")</f>
        <v/>
      </c>
      <c r="X6" s="4">
        <f>IF(H6&gt;0,B6/H6,"")</f>
        <v/>
      </c>
      <c r="Y6" s="7">
        <f>IF(F6&gt;0,G6/F6,"")</f>
        <v/>
      </c>
      <c r="Z6" s="7">
        <f>IF(G6&gt;0,H6/G6,"")</f>
        <v/>
      </c>
      <c r="AA6" s="6">
        <f>IF(C6&gt;0,I6/C6,"")</f>
        <v/>
      </c>
      <c r="AB6" s="7">
        <f>IF(C6&gt;0,N6/C6,"")</f>
        <v/>
      </c>
      <c r="AC6" s="7">
        <f>IF(N6&gt;0,R6/N6,"")</f>
        <v/>
      </c>
    </row>
    <row r="7">
      <c r="A7" s="2" t="inlineStr">
        <is>
          <t>05:00</t>
        </is>
      </c>
      <c r="B7" s="4" t="n">
        <v>64.742411</v>
      </c>
      <c r="C7" s="5" t="n">
        <v>1408</v>
      </c>
      <c r="D7" s="5" t="n"/>
      <c r="E7" s="5" t="n">
        <v>25</v>
      </c>
      <c r="F7" s="5" t="n">
        <v>10</v>
      </c>
      <c r="G7" s="5" t="n">
        <v>2</v>
      </c>
      <c r="H7" s="5" t="n">
        <v>1</v>
      </c>
      <c r="I7" s="5" t="n">
        <v>63</v>
      </c>
      <c r="J7" s="5" t="n">
        <v>7</v>
      </c>
      <c r="K7" s="5" t="n">
        <v>0</v>
      </c>
      <c r="L7" s="5" t="n">
        <v>0</v>
      </c>
      <c r="M7" s="5" t="n">
        <v>1</v>
      </c>
      <c r="N7" s="5" t="n">
        <v>45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>
        <f>IF(D7&gt;0,C7/D7,"")</f>
        <v/>
      </c>
      <c r="U7" s="6">
        <f>IF(C7&gt;0,F7/C7,"")</f>
        <v/>
      </c>
      <c r="V7" s="4">
        <f>IF(C7&gt;0,B7/C7*1000,"")</f>
        <v/>
      </c>
      <c r="W7" s="4">
        <f>IF(F7&gt;0,B7/F7,"")</f>
        <v/>
      </c>
      <c r="X7" s="4">
        <f>IF(H7&gt;0,B7/H7,"")</f>
        <v/>
      </c>
      <c r="Y7" s="7">
        <f>IF(F7&gt;0,G7/F7,"")</f>
        <v/>
      </c>
      <c r="Z7" s="7">
        <f>IF(G7&gt;0,H7/G7,"")</f>
        <v/>
      </c>
      <c r="AA7" s="6">
        <f>IF(C7&gt;0,I7/C7,"")</f>
        <v/>
      </c>
      <c r="AB7" s="7">
        <f>IF(C7&gt;0,N7/C7,"")</f>
        <v/>
      </c>
      <c r="AC7" s="7">
        <f>IF(N7&gt;0,R7/N7,"")</f>
        <v/>
      </c>
    </row>
    <row r="8">
      <c r="A8" s="2" t="inlineStr">
        <is>
          <t>06:00</t>
        </is>
      </c>
      <c r="B8" s="4" t="n">
        <v>112.224179</v>
      </c>
      <c r="C8" s="5" t="n">
        <v>2294</v>
      </c>
      <c r="D8" s="5" t="n"/>
      <c r="E8" s="5" t="n">
        <v>58</v>
      </c>
      <c r="F8" s="5" t="n">
        <v>33</v>
      </c>
      <c r="G8" s="5" t="n">
        <v>9</v>
      </c>
      <c r="H8" s="5" t="n">
        <v>10</v>
      </c>
      <c r="I8" s="5" t="n">
        <v>123</v>
      </c>
      <c r="J8" s="5" t="n">
        <v>3</v>
      </c>
      <c r="K8" s="5" t="n">
        <v>0</v>
      </c>
      <c r="L8" s="5" t="n">
        <v>0</v>
      </c>
      <c r="M8" s="5" t="n">
        <v>0</v>
      </c>
      <c r="N8" s="5" t="n">
        <v>87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>
        <f>IF(D8&gt;0,C8/D8,"")</f>
        <v/>
      </c>
      <c r="U8" s="6">
        <f>IF(C8&gt;0,F8/C8,"")</f>
        <v/>
      </c>
      <c r="V8" s="4">
        <f>IF(C8&gt;0,B8/C8*1000,"")</f>
        <v/>
      </c>
      <c r="W8" s="4">
        <f>IF(F8&gt;0,B8/F8,"")</f>
        <v/>
      </c>
      <c r="X8" s="4">
        <f>IF(H8&gt;0,B8/H8,"")</f>
        <v/>
      </c>
      <c r="Y8" s="7">
        <f>IF(F8&gt;0,G8/F8,"")</f>
        <v/>
      </c>
      <c r="Z8" s="7">
        <f>IF(G8&gt;0,H8/G8,"")</f>
        <v/>
      </c>
      <c r="AA8" s="6">
        <f>IF(C8&gt;0,I8/C8,"")</f>
        <v/>
      </c>
      <c r="AB8" s="7">
        <f>IF(C8&gt;0,N8/C8,"")</f>
        <v/>
      </c>
      <c r="AC8" s="7">
        <f>IF(N8&gt;0,R8/N8,"")</f>
        <v/>
      </c>
    </row>
    <row r="9">
      <c r="A9" s="2" t="inlineStr">
        <is>
          <t>07:00</t>
        </is>
      </c>
      <c r="B9" s="4" t="n">
        <v>146.655461</v>
      </c>
      <c r="C9" s="5" t="n">
        <v>3736</v>
      </c>
      <c r="D9" s="5" t="n"/>
      <c r="E9" s="5" t="n">
        <v>100</v>
      </c>
      <c r="F9" s="5" t="n">
        <v>60</v>
      </c>
      <c r="G9" s="5" t="n">
        <v>11</v>
      </c>
      <c r="H9" s="5" t="n">
        <v>12</v>
      </c>
      <c r="I9" s="5" t="n">
        <v>223</v>
      </c>
      <c r="J9" s="5" t="n">
        <v>2</v>
      </c>
      <c r="K9" s="5" t="n">
        <v>0</v>
      </c>
      <c r="L9" s="5" t="n">
        <v>2</v>
      </c>
      <c r="M9" s="5" t="n">
        <v>1</v>
      </c>
      <c r="N9" s="5" t="n">
        <v>158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>
        <f>IF(D9&gt;0,C9/D9,"")</f>
        <v/>
      </c>
      <c r="U9" s="6">
        <f>IF(C9&gt;0,F9/C9,"")</f>
        <v/>
      </c>
      <c r="V9" s="4">
        <f>IF(C9&gt;0,B9/C9*1000,"")</f>
        <v/>
      </c>
      <c r="W9" s="4">
        <f>IF(F9&gt;0,B9/F9,"")</f>
        <v/>
      </c>
      <c r="X9" s="4">
        <f>IF(H9&gt;0,B9/H9,"")</f>
        <v/>
      </c>
      <c r="Y9" s="7">
        <f>IF(F9&gt;0,G9/F9,"")</f>
        <v/>
      </c>
      <c r="Z9" s="7">
        <f>IF(G9&gt;0,H9/G9,"")</f>
        <v/>
      </c>
      <c r="AA9" s="6">
        <f>IF(C9&gt;0,I9/C9,"")</f>
        <v/>
      </c>
      <c r="AB9" s="7">
        <f>IF(C9&gt;0,N9/C9,"")</f>
        <v/>
      </c>
      <c r="AC9" s="7">
        <f>IF(N9&gt;0,R9/N9,"")</f>
        <v/>
      </c>
    </row>
    <row r="10">
      <c r="A10" s="2" t="inlineStr">
        <is>
          <t>08:00</t>
        </is>
      </c>
      <c r="B10" s="4" t="n">
        <v>207.787738</v>
      </c>
      <c r="C10" s="5" t="n">
        <v>4523</v>
      </c>
      <c r="D10" s="5" t="n"/>
      <c r="E10" s="5" t="n">
        <v>86</v>
      </c>
      <c r="F10" s="5" t="n">
        <v>49</v>
      </c>
      <c r="G10" s="5" t="n">
        <v>13</v>
      </c>
      <c r="H10" s="5" t="n">
        <v>12</v>
      </c>
      <c r="I10" s="5" t="n">
        <v>222</v>
      </c>
      <c r="J10" s="5" t="n">
        <v>2</v>
      </c>
      <c r="K10" s="5" t="n">
        <v>0</v>
      </c>
      <c r="L10" s="5" t="n">
        <v>0</v>
      </c>
      <c r="M10" s="5" t="n">
        <v>2</v>
      </c>
      <c r="N10" s="5" t="n">
        <v>169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>
        <f>IF(D10&gt;0,C10/D10,"")</f>
        <v/>
      </c>
      <c r="U10" s="6">
        <f>IF(C10&gt;0,F10/C10,"")</f>
        <v/>
      </c>
      <c r="V10" s="4">
        <f>IF(C10&gt;0,B10/C10*1000,"")</f>
        <v/>
      </c>
      <c r="W10" s="4">
        <f>IF(F10&gt;0,B10/F10,"")</f>
        <v/>
      </c>
      <c r="X10" s="4">
        <f>IF(H10&gt;0,B10/H10,"")</f>
        <v/>
      </c>
      <c r="Y10" s="7">
        <f>IF(F10&gt;0,G10/F10,"")</f>
        <v/>
      </c>
      <c r="Z10" s="7">
        <f>IF(G10&gt;0,H10/G10,"")</f>
        <v/>
      </c>
      <c r="AA10" s="6">
        <f>IF(C10&gt;0,I10/C10,"")</f>
        <v/>
      </c>
      <c r="AB10" s="7">
        <f>IF(C10&gt;0,N10/C10,"")</f>
        <v/>
      </c>
      <c r="AC10" s="7">
        <f>IF(N10&gt;0,R10/N10,"")</f>
        <v/>
      </c>
    </row>
    <row r="11">
      <c r="A11" s="2" t="inlineStr">
        <is>
          <t>09:00</t>
        </is>
      </c>
      <c r="B11" s="4" t="n">
        <v>181.226749</v>
      </c>
      <c r="C11" s="5" t="n">
        <v>4537</v>
      </c>
      <c r="D11" s="5" t="n"/>
      <c r="E11" s="5" t="n">
        <v>88</v>
      </c>
      <c r="F11" s="5" t="n">
        <v>44</v>
      </c>
      <c r="G11" s="5" t="n">
        <v>10</v>
      </c>
      <c r="H11" s="5" t="n">
        <v>8</v>
      </c>
      <c r="I11" s="5" t="n">
        <v>203</v>
      </c>
      <c r="J11" s="5" t="n">
        <v>5</v>
      </c>
      <c r="K11" s="5" t="n">
        <v>0</v>
      </c>
      <c r="L11" s="5" t="n">
        <v>0</v>
      </c>
      <c r="M11" s="5" t="n">
        <v>0</v>
      </c>
      <c r="N11" s="5" t="n">
        <v>154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>
        <f>IF(D11&gt;0,C11/D11,"")</f>
        <v/>
      </c>
      <c r="U11" s="6">
        <f>IF(C11&gt;0,F11/C11,"")</f>
        <v/>
      </c>
      <c r="V11" s="4">
        <f>IF(C11&gt;0,B11/C11*1000,"")</f>
        <v/>
      </c>
      <c r="W11" s="4">
        <f>IF(F11&gt;0,B11/F11,"")</f>
        <v/>
      </c>
      <c r="X11" s="4">
        <f>IF(H11&gt;0,B11/H11,"")</f>
        <v/>
      </c>
      <c r="Y11" s="7">
        <f>IF(F11&gt;0,G11/F11,"")</f>
        <v/>
      </c>
      <c r="Z11" s="7">
        <f>IF(G11&gt;0,H11/G11,"")</f>
        <v/>
      </c>
      <c r="AA11" s="6">
        <f>IF(C11&gt;0,I11/C11,"")</f>
        <v/>
      </c>
      <c r="AB11" s="7">
        <f>IF(C11&gt;0,N11/C11,"")</f>
        <v/>
      </c>
      <c r="AC11" s="7">
        <f>IF(N11&gt;0,R11/N11,"")</f>
        <v/>
      </c>
    </row>
    <row r="12">
      <c r="A12" s="2" t="inlineStr">
        <is>
          <t>10:00</t>
        </is>
      </c>
      <c r="B12" s="4" t="n">
        <v>174.446496</v>
      </c>
      <c r="C12" s="5" t="n">
        <v>4477</v>
      </c>
      <c r="D12" s="5" t="n"/>
      <c r="E12" s="5" t="n">
        <v>127</v>
      </c>
      <c r="F12" s="5" t="n">
        <v>75</v>
      </c>
      <c r="G12" s="5" t="n">
        <v>13</v>
      </c>
      <c r="H12" s="5" t="n">
        <v>15</v>
      </c>
      <c r="I12" s="5" t="n">
        <v>237</v>
      </c>
      <c r="J12" s="5" t="n">
        <v>7</v>
      </c>
      <c r="K12" s="5" t="n">
        <v>1</v>
      </c>
      <c r="L12" s="5" t="n">
        <v>1</v>
      </c>
      <c r="M12" s="5" t="n">
        <v>2</v>
      </c>
      <c r="N12" s="5" t="n">
        <v>151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>
        <f>IF(D12&gt;0,C12/D12,"")</f>
        <v/>
      </c>
      <c r="U12" s="6">
        <f>IF(C12&gt;0,F12/C12,"")</f>
        <v/>
      </c>
      <c r="V12" s="4">
        <f>IF(C12&gt;0,B12/C12*1000,"")</f>
        <v/>
      </c>
      <c r="W12" s="4">
        <f>IF(F12&gt;0,B12/F12,"")</f>
        <v/>
      </c>
      <c r="X12" s="4">
        <f>IF(H12&gt;0,B12/H12,"")</f>
        <v/>
      </c>
      <c r="Y12" s="7">
        <f>IF(F12&gt;0,G12/F12,"")</f>
        <v/>
      </c>
      <c r="Z12" s="7">
        <f>IF(G12&gt;0,H12/G12,"")</f>
        <v/>
      </c>
      <c r="AA12" s="6">
        <f>IF(C12&gt;0,I12/C12,"")</f>
        <v/>
      </c>
      <c r="AB12" s="7">
        <f>IF(C12&gt;0,N12/C12,"")</f>
        <v/>
      </c>
      <c r="AC12" s="7">
        <f>IF(N12&gt;0,R12/N12,"")</f>
        <v/>
      </c>
    </row>
    <row r="13">
      <c r="A13" s="2" t="inlineStr">
        <is>
          <t>11:00</t>
        </is>
      </c>
      <c r="B13" s="4" t="n">
        <v>186.656951</v>
      </c>
      <c r="C13" s="5" t="n">
        <v>4741</v>
      </c>
      <c r="D13" s="5" t="n"/>
      <c r="E13" s="5" t="n">
        <v>136</v>
      </c>
      <c r="F13" s="5" t="n">
        <v>71</v>
      </c>
      <c r="G13" s="5" t="n">
        <v>19</v>
      </c>
      <c r="H13" s="5" t="n">
        <v>22</v>
      </c>
      <c r="I13" s="5" t="n">
        <v>247</v>
      </c>
      <c r="J13" s="5" t="n">
        <v>9</v>
      </c>
      <c r="K13" s="5" t="n">
        <v>0</v>
      </c>
      <c r="L13" s="5" t="n">
        <v>2</v>
      </c>
      <c r="M13" s="5" t="n">
        <v>1</v>
      </c>
      <c r="N13" s="5" t="n">
        <v>164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8">
        <f>IF(D13&gt;0,C13/D13,"")</f>
        <v/>
      </c>
      <c r="U13" s="6">
        <f>IF(C13&gt;0,F13/C13,"")</f>
        <v/>
      </c>
      <c r="V13" s="4">
        <f>IF(C13&gt;0,B13/C13*1000,"")</f>
        <v/>
      </c>
      <c r="W13" s="4">
        <f>IF(F13&gt;0,B13/F13,"")</f>
        <v/>
      </c>
      <c r="X13" s="4">
        <f>IF(H13&gt;0,B13/H13,"")</f>
        <v/>
      </c>
      <c r="Y13" s="7">
        <f>IF(F13&gt;0,G13/F13,"")</f>
        <v/>
      </c>
      <c r="Z13" s="7">
        <f>IF(G13&gt;0,H13/G13,"")</f>
        <v/>
      </c>
      <c r="AA13" s="6">
        <f>IF(C13&gt;0,I13/C13,"")</f>
        <v/>
      </c>
      <c r="AB13" s="7">
        <f>IF(C13&gt;0,N13/C13,"")</f>
        <v/>
      </c>
      <c r="AC13" s="7">
        <f>IF(N13&gt;0,R13/N13,"")</f>
        <v/>
      </c>
    </row>
    <row r="14">
      <c r="A14" s="2" t="inlineStr">
        <is>
          <t>12:00</t>
        </is>
      </c>
      <c r="B14" s="4" t="n">
        <v>183.786844</v>
      </c>
      <c r="C14" s="5" t="n">
        <v>5004</v>
      </c>
      <c r="D14" s="5" t="n"/>
      <c r="E14" s="5" t="n">
        <v>109</v>
      </c>
      <c r="F14" s="5" t="n">
        <v>54</v>
      </c>
      <c r="G14" s="5" t="n">
        <v>9</v>
      </c>
      <c r="H14" s="5" t="n">
        <v>12</v>
      </c>
      <c r="I14" s="5" t="n">
        <v>260</v>
      </c>
      <c r="J14" s="5" t="n">
        <v>7</v>
      </c>
      <c r="K14" s="5" t="n">
        <v>1</v>
      </c>
      <c r="L14" s="5" t="n">
        <v>0</v>
      </c>
      <c r="M14" s="5" t="n">
        <v>2</v>
      </c>
      <c r="N14" s="5" t="n">
        <v>196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>
        <f>IF(D14&gt;0,C14/D14,"")</f>
        <v/>
      </c>
      <c r="U14" s="6">
        <f>IF(C14&gt;0,F14/C14,"")</f>
        <v/>
      </c>
      <c r="V14" s="4">
        <f>IF(C14&gt;0,B14/C14*1000,"")</f>
        <v/>
      </c>
      <c r="W14" s="4">
        <f>IF(F14&gt;0,B14/F14,"")</f>
        <v/>
      </c>
      <c r="X14" s="4">
        <f>IF(H14&gt;0,B14/H14,"")</f>
        <v/>
      </c>
      <c r="Y14" s="7">
        <f>IF(F14&gt;0,G14/F14,"")</f>
        <v/>
      </c>
      <c r="Z14" s="7">
        <f>IF(G14&gt;0,H14/G14,"")</f>
        <v/>
      </c>
      <c r="AA14" s="6">
        <f>IF(C14&gt;0,I14/C14,"")</f>
        <v/>
      </c>
      <c r="AB14" s="7">
        <f>IF(C14&gt;0,N14/C14,"")</f>
        <v/>
      </c>
      <c r="AC14" s="7">
        <f>IF(N14&gt;0,R14/N14,"")</f>
        <v/>
      </c>
    </row>
    <row r="15">
      <c r="A15" s="2" t="inlineStr">
        <is>
          <t>13:00</t>
        </is>
      </c>
      <c r="B15" s="4" t="n">
        <v>177.656616</v>
      </c>
      <c r="C15" s="5" t="n">
        <v>4757</v>
      </c>
      <c r="D15" s="5" t="n"/>
      <c r="E15" s="5" t="n">
        <v>95</v>
      </c>
      <c r="F15" s="5" t="n">
        <v>53</v>
      </c>
      <c r="G15" s="5" t="n">
        <v>8</v>
      </c>
      <c r="H15" s="5" t="n">
        <v>11</v>
      </c>
      <c r="I15" s="5" t="n">
        <v>246</v>
      </c>
      <c r="J15" s="5" t="n">
        <v>10</v>
      </c>
      <c r="K15" s="5" t="n">
        <v>1</v>
      </c>
      <c r="L15" s="5" t="n">
        <v>2</v>
      </c>
      <c r="M15" s="5" t="n">
        <v>1</v>
      </c>
      <c r="N15" s="5" t="n">
        <v>179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>
        <f>IF(D15&gt;0,C15/D15,"")</f>
        <v/>
      </c>
      <c r="U15" s="6">
        <f>IF(C15&gt;0,F15/C15,"")</f>
        <v/>
      </c>
      <c r="V15" s="4">
        <f>IF(C15&gt;0,B15/C15*1000,"")</f>
        <v/>
      </c>
      <c r="W15" s="4">
        <f>IF(F15&gt;0,B15/F15,"")</f>
        <v/>
      </c>
      <c r="X15" s="4">
        <f>IF(H15&gt;0,B15/H15,"")</f>
        <v/>
      </c>
      <c r="Y15" s="7">
        <f>IF(F15&gt;0,G15/F15,"")</f>
        <v/>
      </c>
      <c r="Z15" s="7">
        <f>IF(G15&gt;0,H15/G15,"")</f>
        <v/>
      </c>
      <c r="AA15" s="6">
        <f>IF(C15&gt;0,I15/C15,"")</f>
        <v/>
      </c>
      <c r="AB15" s="7">
        <f>IF(C15&gt;0,N15/C15,"")</f>
        <v/>
      </c>
      <c r="AC15" s="7">
        <f>IF(N15&gt;0,R15/N15,"")</f>
        <v/>
      </c>
    </row>
    <row r="16">
      <c r="A16" s="2" t="inlineStr">
        <is>
          <t>14:00</t>
        </is>
      </c>
      <c r="B16" s="4" t="n">
        <v>154.375749</v>
      </c>
      <c r="C16" s="5" t="n">
        <v>4835</v>
      </c>
      <c r="D16" s="5" t="n"/>
      <c r="E16" s="5" t="n">
        <v>127</v>
      </c>
      <c r="F16" s="5" t="n">
        <v>67</v>
      </c>
      <c r="G16" s="5" t="n">
        <v>21</v>
      </c>
      <c r="H16" s="5" t="n">
        <v>16</v>
      </c>
      <c r="I16" s="5" t="n">
        <v>211</v>
      </c>
      <c r="J16" s="5" t="n">
        <v>2</v>
      </c>
      <c r="K16" s="5" t="n">
        <v>0</v>
      </c>
      <c r="L16" s="5" t="n">
        <v>3</v>
      </c>
      <c r="M16" s="5" t="n">
        <v>1</v>
      </c>
      <c r="N16" s="5" t="n">
        <v>138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>
        <f>IF(D16&gt;0,C16/D16,"")</f>
        <v/>
      </c>
      <c r="U16" s="6">
        <f>IF(C16&gt;0,F16/C16,"")</f>
        <v/>
      </c>
      <c r="V16" s="4">
        <f>IF(C16&gt;0,B16/C16*1000,"")</f>
        <v/>
      </c>
      <c r="W16" s="4">
        <f>IF(F16&gt;0,B16/F16,"")</f>
        <v/>
      </c>
      <c r="X16" s="4">
        <f>IF(H16&gt;0,B16/H16,"")</f>
        <v/>
      </c>
      <c r="Y16" s="7">
        <f>IF(F16&gt;0,G16/F16,"")</f>
        <v/>
      </c>
      <c r="Z16" s="7">
        <f>IF(G16&gt;0,H16/G16,"")</f>
        <v/>
      </c>
      <c r="AA16" s="6">
        <f>IF(C16&gt;0,I16/C16,"")</f>
        <v/>
      </c>
      <c r="AB16" s="7">
        <f>IF(C16&gt;0,N16/C16,"")</f>
        <v/>
      </c>
      <c r="AC16" s="7">
        <f>IF(N16&gt;0,R16/N16,"")</f>
        <v/>
      </c>
    </row>
    <row r="17">
      <c r="A17" s="2" t="inlineStr">
        <is>
          <t>15:00</t>
        </is>
      </c>
      <c r="B17" s="4" t="n">
        <v>171.916402</v>
      </c>
      <c r="C17" s="5" t="n">
        <v>5243</v>
      </c>
      <c r="D17" s="5" t="n"/>
      <c r="E17" s="5" t="n">
        <v>120</v>
      </c>
      <c r="F17" s="5" t="n">
        <v>71</v>
      </c>
      <c r="G17" s="5" t="n">
        <v>11</v>
      </c>
      <c r="H17" s="5" t="n">
        <v>9</v>
      </c>
      <c r="I17" s="5" t="n">
        <v>208</v>
      </c>
      <c r="J17" s="5" t="n">
        <v>4</v>
      </c>
      <c r="K17" s="5" t="n">
        <v>1</v>
      </c>
      <c r="L17" s="5" t="n">
        <v>0</v>
      </c>
      <c r="M17" s="5" t="n">
        <v>0</v>
      </c>
      <c r="N17" s="5" t="n">
        <v>132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>
        <f>IF(D17&gt;0,C17/D17,"")</f>
        <v/>
      </c>
      <c r="U17" s="6">
        <f>IF(C17&gt;0,F17/C17,"")</f>
        <v/>
      </c>
      <c r="V17" s="4">
        <f>IF(C17&gt;0,B17/C17*1000,"")</f>
        <v/>
      </c>
      <c r="W17" s="4">
        <f>IF(F17&gt;0,B17/F17,"")</f>
        <v/>
      </c>
      <c r="X17" s="4">
        <f>IF(H17&gt;0,B17/H17,"")</f>
        <v/>
      </c>
      <c r="Y17" s="7">
        <f>IF(F17&gt;0,G17/F17,"")</f>
        <v/>
      </c>
      <c r="Z17" s="7">
        <f>IF(G17&gt;0,H17/G17,"")</f>
        <v/>
      </c>
      <c r="AA17" s="6">
        <f>IF(C17&gt;0,I17/C17,"")</f>
        <v/>
      </c>
      <c r="AB17" s="7">
        <f>IF(C17&gt;0,N17/C17,"")</f>
        <v/>
      </c>
      <c r="AC17" s="7">
        <f>IF(N17&gt;0,R17/N17,"")</f>
        <v/>
      </c>
    </row>
    <row r="18">
      <c r="A18" s="2" t="inlineStr">
        <is>
          <t>16:00</t>
        </is>
      </c>
      <c r="B18" s="4" t="n">
        <v>198.737401</v>
      </c>
      <c r="C18" s="5" t="n">
        <v>7124</v>
      </c>
      <c r="D18" s="5" t="n"/>
      <c r="E18" s="5" t="n">
        <v>118</v>
      </c>
      <c r="F18" s="5" t="n">
        <v>80</v>
      </c>
      <c r="G18" s="5" t="n">
        <v>17</v>
      </c>
      <c r="H18" s="5" t="n">
        <v>13</v>
      </c>
      <c r="I18" s="5" t="n">
        <v>222</v>
      </c>
      <c r="J18" s="5" t="n">
        <v>3</v>
      </c>
      <c r="K18" s="5" t="n">
        <v>1</v>
      </c>
      <c r="L18" s="5" t="n">
        <v>0</v>
      </c>
      <c r="M18" s="5" t="n">
        <v>2</v>
      </c>
      <c r="N18" s="5" t="n">
        <v>136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>
        <f>IF(D18&gt;0,C18/D18,"")</f>
        <v/>
      </c>
      <c r="U18" s="6">
        <f>IF(C18&gt;0,F18/C18,"")</f>
        <v/>
      </c>
      <c r="V18" s="4">
        <f>IF(C18&gt;0,B18/C18*1000,"")</f>
        <v/>
      </c>
      <c r="W18" s="4">
        <f>IF(F18&gt;0,B18/F18,"")</f>
        <v/>
      </c>
      <c r="X18" s="4">
        <f>IF(H18&gt;0,B18/H18,"")</f>
        <v/>
      </c>
      <c r="Y18" s="7">
        <f>IF(F18&gt;0,G18/F18,"")</f>
        <v/>
      </c>
      <c r="Z18" s="7">
        <f>IF(G18&gt;0,H18/G18,"")</f>
        <v/>
      </c>
      <c r="AA18" s="6">
        <f>IF(C18&gt;0,I18/C18,"")</f>
        <v/>
      </c>
      <c r="AB18" s="7">
        <f>IF(C18&gt;0,N18/C18,"")</f>
        <v/>
      </c>
      <c r="AC18" s="7">
        <f>IF(N18&gt;0,R18/N18,"")</f>
        <v/>
      </c>
    </row>
    <row r="19">
      <c r="A19" s="2" t="inlineStr">
        <is>
          <t>17:00</t>
        </is>
      </c>
      <c r="B19" s="4" t="n">
        <v>150.175592</v>
      </c>
      <c r="C19" s="5" t="n">
        <v>4709</v>
      </c>
      <c r="D19" s="5" t="n"/>
      <c r="E19" s="5" t="n">
        <v>110</v>
      </c>
      <c r="F19" s="5" t="n">
        <v>61</v>
      </c>
      <c r="G19" s="5" t="n">
        <v>11</v>
      </c>
      <c r="H19" s="5" t="n">
        <v>17</v>
      </c>
      <c r="I19" s="5" t="n">
        <v>194</v>
      </c>
      <c r="J19" s="5" t="n">
        <v>5</v>
      </c>
      <c r="K19" s="5" t="n">
        <v>0</v>
      </c>
      <c r="L19" s="5" t="n">
        <v>0</v>
      </c>
      <c r="M19" s="5" t="n">
        <v>1</v>
      </c>
      <c r="N19" s="5" t="n">
        <v>127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>
        <f>IF(D19&gt;0,C19/D19,"")</f>
        <v/>
      </c>
      <c r="U19" s="6">
        <f>IF(C19&gt;0,F19/C19,"")</f>
        <v/>
      </c>
      <c r="V19" s="4">
        <f>IF(C19&gt;0,B19/C19*1000,"")</f>
        <v/>
      </c>
      <c r="W19" s="4">
        <f>IF(F19&gt;0,B19/F19,"")</f>
        <v/>
      </c>
      <c r="X19" s="4">
        <f>IF(H19&gt;0,B19/H19,"")</f>
        <v/>
      </c>
      <c r="Y19" s="7">
        <f>IF(F19&gt;0,G19/F19,"")</f>
        <v/>
      </c>
      <c r="Z19" s="7">
        <f>IF(G19&gt;0,H19/G19,"")</f>
        <v/>
      </c>
      <c r="AA19" s="6">
        <f>IF(C19&gt;0,I19/C19,"")</f>
        <v/>
      </c>
      <c r="AB19" s="7">
        <f>IF(C19&gt;0,N19/C19,"")</f>
        <v/>
      </c>
      <c r="AC19" s="7">
        <f>IF(N19&gt;0,R19/N19,"")</f>
        <v/>
      </c>
    </row>
    <row r="20">
      <c r="A20" s="2" t="inlineStr">
        <is>
          <t>18:00</t>
        </is>
      </c>
      <c r="B20" s="4" t="n">
        <v>139.835207</v>
      </c>
      <c r="C20" s="5" t="n">
        <v>4206</v>
      </c>
      <c r="D20" s="5" t="n"/>
      <c r="E20" s="5" t="n">
        <v>118</v>
      </c>
      <c r="F20" s="5" t="n">
        <v>71</v>
      </c>
      <c r="G20" s="5" t="n">
        <v>15</v>
      </c>
      <c r="H20" s="5" t="n">
        <v>17</v>
      </c>
      <c r="I20" s="5" t="n">
        <v>182</v>
      </c>
      <c r="J20" s="5" t="n">
        <v>4</v>
      </c>
      <c r="K20" s="5" t="n">
        <v>0</v>
      </c>
      <c r="L20" s="5" t="n">
        <v>0</v>
      </c>
      <c r="M20" s="5" t="n">
        <v>1</v>
      </c>
      <c r="N20" s="5" t="n">
        <v>106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>
        <f>IF(D20&gt;0,C20/D20,"")</f>
        <v/>
      </c>
      <c r="U20" s="6">
        <f>IF(C20&gt;0,F20/C20,"")</f>
        <v/>
      </c>
      <c r="V20" s="4">
        <f>IF(C20&gt;0,B20/C20*1000,"")</f>
        <v/>
      </c>
      <c r="W20" s="4">
        <f>IF(F20&gt;0,B20/F20,"")</f>
        <v/>
      </c>
      <c r="X20" s="4">
        <f>IF(H20&gt;0,B20/H20,"")</f>
        <v/>
      </c>
      <c r="Y20" s="7">
        <f>IF(F20&gt;0,G20/F20,"")</f>
        <v/>
      </c>
      <c r="Z20" s="7">
        <f>IF(G20&gt;0,H20/G20,"")</f>
        <v/>
      </c>
      <c r="AA20" s="6">
        <f>IF(C20&gt;0,I20/C20,"")</f>
        <v/>
      </c>
      <c r="AB20" s="7">
        <f>IF(C20&gt;0,N20/C20,"")</f>
        <v/>
      </c>
      <c r="AC20" s="7">
        <f>IF(N20&gt;0,R20/N20,"")</f>
        <v/>
      </c>
    </row>
    <row r="21">
      <c r="A21" s="2" t="inlineStr">
        <is>
          <t>19:00</t>
        </is>
      </c>
      <c r="B21" s="4" t="n">
        <v>139.525196</v>
      </c>
      <c r="C21" s="5" t="n">
        <v>4740</v>
      </c>
      <c r="D21" s="5" t="n"/>
      <c r="E21" s="5" t="n">
        <v>131</v>
      </c>
      <c r="F21" s="5" t="n">
        <v>74</v>
      </c>
      <c r="G21" s="5" t="n">
        <v>22</v>
      </c>
      <c r="H21" s="5" t="n">
        <v>19</v>
      </c>
      <c r="I21" s="5" t="n">
        <v>222</v>
      </c>
      <c r="J21" s="5" t="n">
        <v>6</v>
      </c>
      <c r="K21" s="5" t="n">
        <v>1</v>
      </c>
      <c r="L21" s="5" t="n">
        <v>1</v>
      </c>
      <c r="M21" s="5" t="n">
        <v>1</v>
      </c>
      <c r="N21" s="5" t="n">
        <v>139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>
        <f>IF(D21&gt;0,C21/D21,"")</f>
        <v/>
      </c>
      <c r="U21" s="6">
        <f>IF(C21&gt;0,F21/C21,"")</f>
        <v/>
      </c>
      <c r="V21" s="4">
        <f>IF(C21&gt;0,B21/C21*1000,"")</f>
        <v/>
      </c>
      <c r="W21" s="4">
        <f>IF(F21&gt;0,B21/F21,"")</f>
        <v/>
      </c>
      <c r="X21" s="4">
        <f>IF(H21&gt;0,B21/H21,"")</f>
        <v/>
      </c>
      <c r="Y21" s="7">
        <f>IF(F21&gt;0,G21/F21,"")</f>
        <v/>
      </c>
      <c r="Z21" s="7">
        <f>IF(G21&gt;0,H21/G21,"")</f>
        <v/>
      </c>
      <c r="AA21" s="6">
        <f>IF(C21&gt;0,I21/C21,"")</f>
        <v/>
      </c>
      <c r="AB21" s="7">
        <f>IF(C21&gt;0,N21/C21,"")</f>
        <v/>
      </c>
      <c r="AC21" s="7">
        <f>IF(N21&gt;0,R21/N21,"")</f>
        <v/>
      </c>
    </row>
    <row r="22">
      <c r="A22" s="2" t="inlineStr">
        <is>
          <t>20:00</t>
        </is>
      </c>
      <c r="B22" s="4" t="n">
        <v>156.465827</v>
      </c>
      <c r="C22" s="5" t="n">
        <v>4574</v>
      </c>
      <c r="D22" s="5" t="n"/>
      <c r="E22" s="5" t="n">
        <v>96</v>
      </c>
      <c r="F22" s="5" t="n">
        <v>53</v>
      </c>
      <c r="G22" s="5" t="n">
        <v>14</v>
      </c>
      <c r="H22" s="5" t="n">
        <v>15</v>
      </c>
      <c r="I22" s="5" t="n">
        <v>186</v>
      </c>
      <c r="J22" s="5" t="n">
        <v>5</v>
      </c>
      <c r="K22" s="5" t="n">
        <v>0</v>
      </c>
      <c r="L22" s="5" t="n">
        <v>1</v>
      </c>
      <c r="M22" s="5" t="n">
        <v>1</v>
      </c>
      <c r="N22" s="5" t="n">
        <v>126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>
        <f>IF(D22&gt;0,C22/D22,"")</f>
        <v/>
      </c>
      <c r="U22" s="6">
        <f>IF(C22&gt;0,F22/C22,"")</f>
        <v/>
      </c>
      <c r="V22" s="4">
        <f>IF(C22&gt;0,B22/C22*1000,"")</f>
        <v/>
      </c>
      <c r="W22" s="4">
        <f>IF(F22&gt;0,B22/F22,"")</f>
        <v/>
      </c>
      <c r="X22" s="4">
        <f>IF(H22&gt;0,B22/H22,"")</f>
        <v/>
      </c>
      <c r="Y22" s="7">
        <f>IF(F22&gt;0,G22/F22,"")</f>
        <v/>
      </c>
      <c r="Z22" s="7">
        <f>IF(G22&gt;0,H22/G22,"")</f>
        <v/>
      </c>
      <c r="AA22" s="6">
        <f>IF(C22&gt;0,I22/C22,"")</f>
        <v/>
      </c>
      <c r="AB22" s="7">
        <f>IF(C22&gt;0,N22/C22,"")</f>
        <v/>
      </c>
      <c r="AC22" s="7">
        <f>IF(N22&gt;0,R22/N22,"")</f>
        <v/>
      </c>
    </row>
    <row r="23">
      <c r="A23" s="2" t="inlineStr">
        <is>
          <t>21:00</t>
        </is>
      </c>
      <c r="B23" s="4" t="n">
        <v>166.466199</v>
      </c>
      <c r="C23" s="5" t="n">
        <v>5218</v>
      </c>
      <c r="D23" s="5" t="n"/>
      <c r="E23" s="5" t="n">
        <v>132</v>
      </c>
      <c r="F23" s="5" t="n">
        <v>72</v>
      </c>
      <c r="G23" s="5" t="n">
        <v>20</v>
      </c>
      <c r="H23" s="5" t="n">
        <v>17</v>
      </c>
      <c r="I23" s="5" t="n">
        <v>213</v>
      </c>
      <c r="J23" s="5" t="n">
        <v>2</v>
      </c>
      <c r="K23" s="5" t="n">
        <v>2</v>
      </c>
      <c r="L23" s="5" t="n">
        <v>0</v>
      </c>
      <c r="M23" s="5" t="n">
        <v>1</v>
      </c>
      <c r="N23" s="5" t="n">
        <v>136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>
        <f>IF(D23&gt;0,C23/D23,"")</f>
        <v/>
      </c>
      <c r="U23" s="6">
        <f>IF(C23&gt;0,F23/C23,"")</f>
        <v/>
      </c>
      <c r="V23" s="4">
        <f>IF(C23&gt;0,B23/C23*1000,"")</f>
        <v/>
      </c>
      <c r="W23" s="4">
        <f>IF(F23&gt;0,B23/F23,"")</f>
        <v/>
      </c>
      <c r="X23" s="4">
        <f>IF(H23&gt;0,B23/H23,"")</f>
        <v/>
      </c>
      <c r="Y23" s="7">
        <f>IF(F23&gt;0,G23/F23,"")</f>
        <v/>
      </c>
      <c r="Z23" s="7">
        <f>IF(G23&gt;0,H23/G23,"")</f>
        <v/>
      </c>
      <c r="AA23" s="6">
        <f>IF(C23&gt;0,I23/C23,"")</f>
        <v/>
      </c>
      <c r="AB23" s="7">
        <f>IF(C23&gt;0,N23/C23,"")</f>
        <v/>
      </c>
      <c r="AC23" s="7">
        <f>IF(N23&gt;0,R23/N23,"")</f>
        <v/>
      </c>
    </row>
    <row r="24">
      <c r="A24" s="2" t="inlineStr">
        <is>
          <t>22:00</t>
        </is>
      </c>
      <c r="B24" s="4" t="n">
        <v>132.014916</v>
      </c>
      <c r="C24" s="5" t="n">
        <v>4283</v>
      </c>
      <c r="D24" s="5" t="n"/>
      <c r="E24" s="5" t="n">
        <v>101</v>
      </c>
      <c r="F24" s="5" t="n">
        <v>54</v>
      </c>
      <c r="G24" s="5" t="n">
        <v>8</v>
      </c>
      <c r="H24" s="5" t="n">
        <v>15</v>
      </c>
      <c r="I24" s="5" t="n">
        <v>150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95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8">
        <f>IF(D24&gt;0,C24/D24,"")</f>
        <v/>
      </c>
      <c r="U24" s="6">
        <f>IF(C24&gt;0,F24/C24,"")</f>
        <v/>
      </c>
      <c r="V24" s="4">
        <f>IF(C24&gt;0,B24/C24*1000,"")</f>
        <v/>
      </c>
      <c r="W24" s="4">
        <f>IF(F24&gt;0,B24/F24,"")</f>
        <v/>
      </c>
      <c r="X24" s="4">
        <f>IF(H24&gt;0,B24/H24,"")</f>
        <v/>
      </c>
      <c r="Y24" s="7">
        <f>IF(F24&gt;0,G24/F24,"")</f>
        <v/>
      </c>
      <c r="Z24" s="7">
        <f>IF(G24&gt;0,H24/G24,"")</f>
        <v/>
      </c>
      <c r="AA24" s="6">
        <f>IF(C24&gt;0,I24/C24,"")</f>
        <v/>
      </c>
      <c r="AB24" s="7">
        <f>IF(C24&gt;0,N24/C24,"")</f>
        <v/>
      </c>
      <c r="AC24" s="7">
        <f>IF(N24&gt;0,R24/N24,"")</f>
        <v/>
      </c>
    </row>
    <row r="25">
      <c r="A25" s="2" t="inlineStr">
        <is>
          <t>23:00</t>
        </is>
      </c>
      <c r="B25" s="4" t="n">
        <v>84.433144</v>
      </c>
      <c r="C25" s="5" t="n">
        <v>2847</v>
      </c>
      <c r="D25" s="5" t="n"/>
      <c r="E25" s="5" t="n">
        <v>73</v>
      </c>
      <c r="F25" s="5" t="n">
        <v>46</v>
      </c>
      <c r="G25" s="5" t="n">
        <v>5</v>
      </c>
      <c r="H25" s="5" t="n">
        <v>12</v>
      </c>
      <c r="I25" s="5" t="n">
        <v>134</v>
      </c>
      <c r="J25" s="5" t="n">
        <v>7</v>
      </c>
      <c r="K25" s="5" t="n">
        <v>0</v>
      </c>
      <c r="L25" s="5" t="n">
        <v>0</v>
      </c>
      <c r="M25" s="5" t="n">
        <v>2</v>
      </c>
      <c r="N25" s="5" t="n">
        <v>79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>
        <f>IF(D25&gt;0,C25/D25,"")</f>
        <v/>
      </c>
      <c r="U25" s="6">
        <f>IF(C25&gt;0,F25/C25,"")</f>
        <v/>
      </c>
      <c r="V25" s="4">
        <f>IF(C25&gt;0,B25/C25*1000,"")</f>
        <v/>
      </c>
      <c r="W25" s="4">
        <f>IF(F25&gt;0,B25/F25,"")</f>
        <v/>
      </c>
      <c r="X25" s="4">
        <f>IF(H25&gt;0,B25/H25,"")</f>
        <v/>
      </c>
      <c r="Y25" s="7">
        <f>IF(F25&gt;0,G25/F25,"")</f>
        <v/>
      </c>
      <c r="Z25" s="7">
        <f>IF(G25&gt;0,H25/G25,"")</f>
        <v/>
      </c>
      <c r="AA25" s="6">
        <f>IF(C25&gt;0,I25/C25,"")</f>
        <v/>
      </c>
      <c r="AB25" s="7">
        <f>IF(C25&gt;0,N25/C25,"")</f>
        <v/>
      </c>
      <c r="AC25" s="7">
        <f>IF(N25&gt;0,R25/N25,"")</f>
        <v/>
      </c>
    </row>
    <row r="26">
      <c r="A26" s="11" t="inlineStr">
        <is>
          <t>Total</t>
        </is>
      </c>
      <c r="B26" s="12">
        <f>SUM(B2:B25)</f>
        <v/>
      </c>
      <c r="C26" s="13">
        <f>SUM(C2:C25)</f>
        <v/>
      </c>
      <c r="D26" s="13" t="n"/>
      <c r="E26" s="13">
        <f>SUM(E2:E25)</f>
        <v/>
      </c>
      <c r="F26" s="13">
        <f>SUM(F2:F25)</f>
        <v/>
      </c>
      <c r="G26" s="13">
        <f>SUM(G2:G25)</f>
        <v/>
      </c>
      <c r="H26" s="13">
        <f>SUM(H2:H25)</f>
        <v/>
      </c>
      <c r="I26" s="13">
        <f>SUM(I2:I25)</f>
        <v/>
      </c>
      <c r="J26" s="13">
        <f>SUM(J2:J25)</f>
        <v/>
      </c>
      <c r="K26" s="13">
        <f>SUM(K2:K25)</f>
        <v/>
      </c>
      <c r="L26" s="13">
        <f>SUM(L2:L25)</f>
        <v/>
      </c>
      <c r="M26" s="13">
        <f>SUM(M2:M25)</f>
        <v/>
      </c>
      <c r="N26" s="13">
        <f>SUM(N2:N25)</f>
        <v/>
      </c>
      <c r="O26" s="13">
        <f>SUM(O2:O25)</f>
        <v/>
      </c>
      <c r="P26" s="13">
        <f>SUM(P2:P25)</f>
        <v/>
      </c>
      <c r="Q26" s="13">
        <f>SUM(Q2:Q25)</f>
        <v/>
      </c>
      <c r="R26" s="13">
        <f>SUM(R2:R25)</f>
        <v/>
      </c>
      <c r="S26" s="13">
        <f>SUM(S2:S25)</f>
        <v/>
      </c>
      <c r="T26" s="14">
        <f>IF(D26&gt;0,C26/D26,"")</f>
        <v/>
      </c>
      <c r="U26" s="15">
        <f>IF(C26&gt;0,F26/C26,"")</f>
        <v/>
      </c>
      <c r="V26" s="12">
        <f>IF(C26&gt;0,B26/C26*1000,"")</f>
        <v/>
      </c>
      <c r="W26" s="12">
        <f>IF(F26&gt;0,B26/F26,"")</f>
        <v/>
      </c>
      <c r="X26" s="12">
        <f>IF(H26&gt;0,B26/H26,"")</f>
        <v/>
      </c>
      <c r="Y26" s="16">
        <f>IF(F26&gt;0,G26/F26,"")</f>
        <v/>
      </c>
      <c r="Z26" s="16">
        <f>IF(G26&gt;0,H26/G26,"")</f>
        <v/>
      </c>
      <c r="AA26" s="15">
        <f>IF(C26&gt;0,I26/C26,"")</f>
        <v/>
      </c>
      <c r="AB26" s="16">
        <f>IF(C26&gt;0,N26/C26,"")</f>
        <v/>
      </c>
      <c r="AC26" s="16">
        <f>IF(N26&gt;0,R26/N26,"")</f>
        <v/>
      </c>
    </row>
    <row r="28">
      <c r="A28" s="17" t="inlineStr">
        <is>
          <t>Meta no entrega alcance por hora.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2026-10-30T15:10:41Z</dcterms:created>
  <dcterms:modified xmlns:dcterms="http://purl.org/dc/terms/" xmlns:xsi="http://www.w3.org/2001/XMLSchema-instance" xsi:type="dcterms:W3CDTF">2026-10-30T15:10:54Z</dcterms:modified>
</cp:coreProperties>
</file>